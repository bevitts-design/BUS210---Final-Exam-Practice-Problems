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Documents/GitHub/BUS210---Final-Exam-Practice-Problems/"/>
    </mc:Choice>
  </mc:AlternateContent>
  <xr:revisionPtr revIDLastSave="24" documentId="8_{6607535C-6484-46EF-B23C-6F2B2626DE19}" xr6:coauthVersionLast="47" xr6:coauthVersionMax="47" xr10:uidLastSave="{37E0160D-A0EB-4240-80F0-41C09842B861}"/>
  <bookViews>
    <workbookView xWindow="-120" yWindow="-120" windowWidth="29040" windowHeight="15720" tabRatio="934" activeTab="1" xr2:uid="{00000000-000D-0000-FFFF-FFFF00000000}"/>
  </bookViews>
  <sheets>
    <sheet name="TVM #1-15" sheetId="19" r:id="rId1"/>
    <sheet name="TVM #2-8" sheetId="4" r:id="rId2"/>
    <sheet name="TVM#3-9" sheetId="20" r:id="rId3"/>
    <sheet name="TVM #4" sheetId="29" r:id="rId4"/>
    <sheet name="TVM #5-10" sheetId="34" r:id="rId5"/>
    <sheet name="TVM #6-11" sheetId="35" r:id="rId6"/>
    <sheet name="Bond #1-20" sheetId="21" r:id="rId7"/>
    <sheet name="Bond #2-19" sheetId="22" r:id="rId8"/>
    <sheet name="Bond #4-18" sheetId="24" r:id="rId9"/>
    <sheet name="Equity #1-1" sheetId="25" r:id="rId10"/>
    <sheet name="Equity #2-3" sheetId="26" r:id="rId11"/>
    <sheet name="Equity #3-4" sheetId="27" r:id="rId12"/>
    <sheet name="Equity #4-5" sheetId="15" r:id="rId13"/>
    <sheet name="Equity #5-12" sheetId="30" r:id="rId14"/>
    <sheet name="Equity #6-13" sheetId="31" r:id="rId15"/>
    <sheet name="WACC #1-6" sheetId="17" r:id="rId16"/>
    <sheet name="WACC #2-7" sheetId="28" r:id="rId17"/>
    <sheet name="WACC #3-17" sheetId="2" r:id="rId1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9" l="1"/>
  <c r="B16" i="19"/>
  <c r="C23" i="19"/>
  <c r="C24" i="19"/>
  <c r="C10" i="35"/>
  <c r="B10" i="35"/>
  <c r="C9" i="34"/>
  <c r="B9" i="34"/>
  <c r="B7" i="34"/>
  <c r="B36" i="28"/>
  <c r="F7" i="30"/>
  <c r="F8" i="30"/>
  <c r="F6" i="30"/>
  <c r="E7" i="30"/>
  <c r="E8" i="30"/>
  <c r="E6" i="30"/>
  <c r="D7" i="30"/>
  <c r="D8" i="30"/>
  <c r="D6" i="30"/>
  <c r="C7" i="31"/>
  <c r="C8" i="31" s="1"/>
  <c r="B11" i="29"/>
  <c r="B9" i="29"/>
  <c r="B4" i="26"/>
  <c r="B3" i="26"/>
  <c r="B24" i="17"/>
  <c r="B31" i="17" s="1"/>
  <c r="B18" i="17"/>
  <c r="A11" i="17"/>
  <c r="A10" i="17"/>
  <c r="A8" i="17"/>
  <c r="B16" i="28"/>
  <c r="A8" i="28"/>
  <c r="A21" i="27"/>
  <c r="A20" i="27"/>
  <c r="A19" i="27"/>
  <c r="A18" i="27"/>
  <c r="B15" i="27"/>
  <c r="B14" i="27"/>
  <c r="B13" i="27"/>
  <c r="H12" i="27"/>
  <c r="G12" i="27"/>
  <c r="G14" i="27" s="1"/>
  <c r="F12" i="27"/>
  <c r="F14" i="27" s="1"/>
  <c r="B12" i="27"/>
  <c r="B11" i="27"/>
  <c r="H6" i="27"/>
  <c r="G6" i="27"/>
  <c r="F6" i="27"/>
  <c r="A30" i="26"/>
  <c r="A29" i="26"/>
  <c r="A26" i="26"/>
  <c r="A24" i="26"/>
  <c r="A21" i="26"/>
  <c r="A19" i="26"/>
  <c r="A14" i="26"/>
  <c r="P5" i="26"/>
  <c r="E5" i="26"/>
  <c r="A11" i="26" s="1"/>
  <c r="O11" i="25"/>
  <c r="N11" i="25"/>
  <c r="R8" i="25" s="1"/>
  <c r="S8" i="25" s="1"/>
  <c r="Y10" i="25"/>
  <c r="A8" i="25"/>
  <c r="AC7" i="25"/>
  <c r="AD7" i="25" s="1"/>
  <c r="A4" i="25"/>
  <c r="A3" i="25"/>
  <c r="AC2" i="25"/>
  <c r="R2" i="25"/>
  <c r="R3" i="25" s="1"/>
  <c r="A2" i="25"/>
  <c r="B20" i="24"/>
  <c r="B17" i="24"/>
  <c r="B16" i="24"/>
  <c r="B14" i="24"/>
  <c r="A28" i="22"/>
  <c r="A23" i="22"/>
  <c r="D13" i="22"/>
  <c r="B11" i="22"/>
  <c r="A24" i="22" s="1"/>
  <c r="B7" i="22"/>
  <c r="B6" i="22"/>
  <c r="B5" i="22"/>
  <c r="B13" i="22" s="1"/>
  <c r="B14" i="22" s="1"/>
  <c r="B26" i="22" s="1"/>
  <c r="D3" i="22"/>
  <c r="D2" i="22"/>
  <c r="D5" i="22" s="1"/>
  <c r="B13" i="21"/>
  <c r="A2" i="21"/>
  <c r="C24" i="20"/>
  <c r="C22" i="20"/>
  <c r="C23" i="20"/>
  <c r="C20" i="20"/>
  <c r="A8" i="20"/>
  <c r="A6" i="20"/>
  <c r="A5" i="20"/>
  <c r="A4" i="20"/>
  <c r="A3" i="20"/>
  <c r="B18" i="20"/>
  <c r="B14" i="20"/>
  <c r="B17" i="20" s="1"/>
  <c r="A19" i="19"/>
  <c r="C14" i="19"/>
  <c r="B14" i="19"/>
  <c r="B23" i="19" s="1"/>
  <c r="B24" i="19" s="1"/>
  <c r="A3" i="19"/>
  <c r="C11" i="15"/>
  <c r="C14" i="15"/>
  <c r="C13" i="15"/>
  <c r="A4" i="4"/>
  <c r="B13" i="15"/>
  <c r="B14" i="15" s="1"/>
  <c r="B11" i="15"/>
  <c r="A10" i="15"/>
  <c r="A4" i="15"/>
  <c r="A3" i="15"/>
  <c r="B17" i="4"/>
  <c r="B12" i="4"/>
  <c r="B11" i="4"/>
  <c r="A52" i="2"/>
  <c r="A59" i="2"/>
  <c r="A58" i="2"/>
  <c r="A57" i="2"/>
  <c r="A56" i="2"/>
  <c r="A55" i="2"/>
  <c r="A54" i="2"/>
  <c r="A53" i="2"/>
  <c r="A51" i="2"/>
  <c r="A50" i="2"/>
  <c r="C45" i="2"/>
  <c r="B45" i="2"/>
  <c r="C44" i="2"/>
  <c r="B44" i="2"/>
  <c r="C43" i="2"/>
  <c r="B43" i="2"/>
  <c r="A41" i="2"/>
  <c r="C35" i="2"/>
  <c r="C32" i="2"/>
  <c r="C29" i="2"/>
  <c r="C28" i="2"/>
  <c r="C27" i="2"/>
  <c r="C23" i="2"/>
  <c r="C22" i="2"/>
  <c r="I21" i="2"/>
  <c r="I22" i="2" s="1"/>
  <c r="B6" i="2" s="1"/>
  <c r="F21" i="2"/>
  <c r="F22" i="2" s="1"/>
  <c r="C21" i="2"/>
  <c r="C18" i="2"/>
  <c r="C17" i="2"/>
  <c r="B17" i="2"/>
  <c r="C16" i="2"/>
  <c r="B16" i="2"/>
  <c r="M15" i="2"/>
  <c r="F15" i="2"/>
  <c r="C15" i="2"/>
  <c r="B15" i="2"/>
  <c r="I14" i="2"/>
  <c r="B5" i="2" s="1"/>
  <c r="F14" i="2"/>
  <c r="C14" i="2"/>
  <c r="B14" i="2"/>
  <c r="C13" i="2"/>
  <c r="B13" i="2"/>
  <c r="B22" i="2" s="1"/>
  <c r="L12" i="2"/>
  <c r="C12" i="2"/>
  <c r="B12" i="2"/>
  <c r="C11" i="2"/>
  <c r="B11" i="2"/>
  <c r="B21" i="2" s="1"/>
  <c r="C9" i="2"/>
  <c r="C8" i="2"/>
  <c r="B8" i="2"/>
  <c r="L7" i="2"/>
  <c r="L14" i="2" s="1"/>
  <c r="C7" i="2"/>
  <c r="C6" i="2"/>
  <c r="C5" i="2"/>
  <c r="C4" i="2"/>
  <c r="C3" i="2"/>
  <c r="P6" i="26" l="1"/>
  <c r="F4" i="26" s="1"/>
  <c r="E4" i="26" s="1"/>
  <c r="F3" i="26"/>
  <c r="E3" i="26" s="1"/>
  <c r="I13" i="27"/>
  <c r="I14" i="27" s="1"/>
  <c r="H14" i="27"/>
  <c r="I7" i="27"/>
  <c r="E8" i="27" s="1"/>
  <c r="H4" i="26"/>
  <c r="A13" i="26"/>
  <c r="H3" i="26"/>
  <c r="A12" i="26"/>
  <c r="AC3" i="25"/>
  <c r="AD2" i="25"/>
  <c r="S3" i="25"/>
  <c r="R4" i="25"/>
  <c r="B24" i="24"/>
  <c r="B21" i="24"/>
  <c r="B22" i="24" s="1"/>
  <c r="B18" i="24"/>
  <c r="D7" i="22"/>
  <c r="C17" i="22" s="1"/>
  <c r="B32" i="22" s="1"/>
  <c r="D6" i="22"/>
  <c r="D10" i="22"/>
  <c r="B14" i="21"/>
  <c r="C6" i="21" s="1"/>
  <c r="C5" i="21"/>
  <c r="B23" i="20"/>
  <c r="B20" i="20"/>
  <c r="B22" i="20"/>
  <c r="B24" i="20" s="1"/>
  <c r="B23" i="2"/>
  <c r="D17" i="4"/>
  <c r="B14" i="4"/>
  <c r="F24" i="2"/>
  <c r="F26" i="2" s="1"/>
  <c r="F28" i="2" s="1"/>
  <c r="B4" i="2" s="1"/>
  <c r="B18" i="2"/>
  <c r="F17" i="2"/>
  <c r="B3" i="2" s="1"/>
  <c r="L17" i="2"/>
  <c r="B9" i="2" s="1"/>
  <c r="B7" i="2"/>
  <c r="H5" i="26" l="1"/>
  <c r="E15" i="27"/>
  <c r="D4" i="26"/>
  <c r="C18" i="26" s="1"/>
  <c r="G4" i="26"/>
  <c r="C22" i="26"/>
  <c r="J4" i="26"/>
  <c r="C25" i="26" s="1"/>
  <c r="G3" i="26"/>
  <c r="G5" i="26" s="1"/>
  <c r="A16" i="26" s="1"/>
  <c r="D3" i="26"/>
  <c r="C17" i="26" s="1"/>
  <c r="C20" i="26"/>
  <c r="L3" i="26"/>
  <c r="J3" i="26"/>
  <c r="C27" i="26" s="1"/>
  <c r="AD3" i="25"/>
  <c r="AC4" i="25"/>
  <c r="S4" i="25"/>
  <c r="R5" i="25"/>
  <c r="B26" i="24"/>
  <c r="B27" i="24" s="1"/>
  <c r="B32" i="24" s="1"/>
  <c r="B29" i="24"/>
  <c r="B30" i="24" s="1"/>
  <c r="B29" i="22"/>
  <c r="C16" i="22"/>
  <c r="D11" i="22"/>
  <c r="B24" i="2"/>
  <c r="C17" i="4"/>
  <c r="E17" i="4" s="1"/>
  <c r="F17" i="4" s="1"/>
  <c r="B18" i="4" s="1"/>
  <c r="C18" i="4"/>
  <c r="C19" i="4"/>
  <c r="B29" i="2" l="1"/>
  <c r="B28" i="2"/>
  <c r="B27" i="2"/>
  <c r="C31" i="26"/>
  <c r="M3" i="26"/>
  <c r="AD4" i="25"/>
  <c r="AC5" i="25"/>
  <c r="S5" i="25"/>
  <c r="R6" i="25"/>
  <c r="C18" i="22"/>
  <c r="B31" i="22"/>
  <c r="D18" i="4"/>
  <c r="E18" i="4" s="1"/>
  <c r="F18" i="4" s="1"/>
  <c r="B19" i="4" s="1"/>
  <c r="B35" i="2" l="1"/>
  <c r="B32" i="2"/>
  <c r="C32" i="26"/>
  <c r="C33" i="26"/>
  <c r="AC6" i="25"/>
  <c r="AD6" i="25" s="1"/>
  <c r="AD5" i="25"/>
  <c r="AD8" i="25" s="1"/>
  <c r="S6" i="25"/>
  <c r="R7" i="25"/>
  <c r="C19" i="22"/>
  <c r="B34" i="22" s="1"/>
  <c r="B33" i="22"/>
  <c r="D19" i="4"/>
  <c r="E19" i="4" s="1"/>
  <c r="F19" i="4" s="1"/>
  <c r="S7" i="25" l="1"/>
  <c r="S9" i="25" s="1"/>
  <c r="S11" i="25"/>
</calcChain>
</file>

<file path=xl/sharedStrings.xml><?xml version="1.0" encoding="utf-8"?>
<sst xmlns="http://schemas.openxmlformats.org/spreadsheetml/2006/main" count="393" uniqueCount="295">
  <si>
    <t>Beta</t>
  </si>
  <si>
    <t>WACC</t>
  </si>
  <si>
    <t>Cost of Equity Calculations</t>
  </si>
  <si>
    <t>Cost of Preferred Stock</t>
  </si>
  <si>
    <t>Cost of Debt</t>
  </si>
  <si>
    <t>Avg Cost of Equity - CAPM &amp; CGM- without flotation cost</t>
  </si>
  <si>
    <t>Shares of Common Equity</t>
  </si>
  <si>
    <t>Share of Preferred Stock</t>
  </si>
  <si>
    <t>Total Par Value of Bonds Outstanding</t>
  </si>
  <si>
    <t>Avg Cost of Equity - CAPM &amp; CGM with flotation costs</t>
  </si>
  <si>
    <t>Par Value per bond(FV)</t>
  </si>
  <si>
    <t>Cost of Preferred Stock without flotation cost</t>
  </si>
  <si>
    <t>Price</t>
  </si>
  <si>
    <t>Maturity</t>
  </si>
  <si>
    <t>Cost of Preferred Stock with flotation costs</t>
  </si>
  <si>
    <t>D1</t>
  </si>
  <si>
    <t>Coupon Rate</t>
  </si>
  <si>
    <t>Before Tax Cost of Debt</t>
  </si>
  <si>
    <t>Div Growth Rate (g)</t>
  </si>
  <si>
    <t xml:space="preserve">Flotation Cost </t>
  </si>
  <si>
    <t>Coupon Payment</t>
  </si>
  <si>
    <t>Tax Rate</t>
  </si>
  <si>
    <t>Risk Free Rate</t>
  </si>
  <si>
    <t># Coupons</t>
  </si>
  <si>
    <t>After Tax Cost of Debt</t>
  </si>
  <si>
    <t>Return on Market</t>
  </si>
  <si>
    <t>Flotation Cost</t>
  </si>
  <si>
    <t>Price of Common Equity</t>
  </si>
  <si>
    <t>Bond $$ Value</t>
  </si>
  <si>
    <t>Cost of equity - w/o flotation cost</t>
  </si>
  <si>
    <t>Cost of Preferred Stock (rp)- w/o flotation cost</t>
  </si>
  <si>
    <t>Price of Preferred Stock</t>
  </si>
  <si>
    <t>CAPM</t>
  </si>
  <si>
    <t xml:space="preserve"> Before Tax Cost of Debt -YTM</t>
  </si>
  <si>
    <t>RATE(nper, pmt, pv, [fv])</t>
  </si>
  <si>
    <t>Quoted Bond Price</t>
  </si>
  <si>
    <t>Constant -Growth</t>
  </si>
  <si>
    <t>Par Value each Bond</t>
  </si>
  <si>
    <t>Average Cost of Equity</t>
  </si>
  <si>
    <t>YTM*(1-tax rate)</t>
  </si>
  <si>
    <t>Dollar Value of each Bond</t>
  </si>
  <si>
    <t>Find Firm's Total Market Value</t>
  </si>
  <si>
    <t>Cost of equity - with flotation cost</t>
  </si>
  <si>
    <t>Cost of Preferred Stock (rp)- with  flotation cost</t>
  </si>
  <si>
    <t>Level of Debt determines the ability to use or not use tax shield</t>
  </si>
  <si>
    <t>Equity</t>
  </si>
  <si>
    <t>Flotation Cost in $$</t>
  </si>
  <si>
    <t>Cost</t>
  </si>
  <si>
    <t>Information will be given to you</t>
  </si>
  <si>
    <t>Preferred Stock</t>
  </si>
  <si>
    <t>Cost Equity (DDM-CG) with flotation cost</t>
  </si>
  <si>
    <t>Cost of Pref Equity -w/flotation</t>
  </si>
  <si>
    <t>Debt</t>
  </si>
  <si>
    <t>Total Firm Value</t>
  </si>
  <si>
    <t>Flotation cost %</t>
  </si>
  <si>
    <t>Determine the Weighting of each funding source</t>
  </si>
  <si>
    <t>CAPM with Flotation cost</t>
  </si>
  <si>
    <t>% of Equity =E/(E+P+D)</t>
  </si>
  <si>
    <t>% of Pref Stock = P/(E+P+D)</t>
  </si>
  <si>
    <t>Average Cost of Equity- with flotation costs</t>
  </si>
  <si>
    <t>% of Debt = D/(E+P+D)</t>
  </si>
  <si>
    <t xml:space="preserve">Determine the Weighted Average Cost of Capital </t>
  </si>
  <si>
    <t>Question:</t>
  </si>
  <si>
    <t>Name:</t>
  </si>
  <si>
    <t>XYZ Corp</t>
  </si>
  <si>
    <t>Ticker</t>
  </si>
  <si>
    <t>XYZ</t>
  </si>
  <si>
    <t>Outstanding Shares/Total Part Value</t>
  </si>
  <si>
    <t xml:space="preserve"> Common Equity </t>
  </si>
  <si>
    <t xml:space="preserve">Preferred Stock </t>
  </si>
  <si>
    <t xml:space="preserve"> Bonds /Debt</t>
  </si>
  <si>
    <t>The firm needs to issue new common stock to fund the purchase of a new machine.</t>
  </si>
  <si>
    <t>The CFO would like to see the average of cost of equity using both the between CAPM and DDM- CGM methods</t>
  </si>
  <si>
    <t>WACC (full tax adv) without flotation costs</t>
  </si>
  <si>
    <t>WACC (full tax adv) with flotation cost on common equity</t>
  </si>
  <si>
    <t>Learning Outcome: Calculate the WACC for a firm given specfic instructions and inputs</t>
  </si>
  <si>
    <t>Current Quoted Price</t>
  </si>
  <si>
    <t>PV</t>
  </si>
  <si>
    <t>CF</t>
  </si>
  <si>
    <t>Rate- Annual</t>
  </si>
  <si>
    <t>N-Years</t>
  </si>
  <si>
    <t>NPER</t>
  </si>
  <si>
    <t>Rate per period</t>
  </si>
  <si>
    <t>Monthly Payment</t>
  </si>
  <si>
    <t>Month</t>
  </si>
  <si>
    <t>Beginning Balance</t>
  </si>
  <si>
    <t>Payment</t>
  </si>
  <si>
    <t>Interest Payment</t>
  </si>
  <si>
    <t>Princ. Payment</t>
  </si>
  <si>
    <t>Ending Balance</t>
  </si>
  <si>
    <t>Inputs</t>
  </si>
  <si>
    <t>Visa</t>
  </si>
  <si>
    <t>Master Card</t>
  </si>
  <si>
    <t>APR</t>
  </si>
  <si>
    <t>Compounding Frequency</t>
  </si>
  <si>
    <t>Daily</t>
  </si>
  <si>
    <t>EAR- Effective Annual Rate</t>
  </si>
  <si>
    <t>=effect(nominal_rate, nper)</t>
  </si>
  <si>
    <t>Answer</t>
  </si>
  <si>
    <t>Buy</t>
  </si>
  <si>
    <t>Sell</t>
  </si>
  <si>
    <t>Coupon</t>
  </si>
  <si>
    <t>Par Value</t>
  </si>
  <si>
    <t>S/A Yield</t>
  </si>
  <si>
    <t>Ending</t>
  </si>
  <si>
    <t>Linked EPS &amp; DPS Problem</t>
  </si>
  <si>
    <t>Cash Flows</t>
  </si>
  <si>
    <t>PV of Cashflows</t>
  </si>
  <si>
    <t>EPS</t>
  </si>
  <si>
    <t>DPS</t>
  </si>
  <si>
    <t>g</t>
  </si>
  <si>
    <t>P/E Ratio</t>
  </si>
  <si>
    <t>Future P/E 23</t>
  </si>
  <si>
    <t xml:space="preserve">Future P/E </t>
  </si>
  <si>
    <t>r</t>
  </si>
  <si>
    <t>Math</t>
  </si>
  <si>
    <t>Price @ yr 5</t>
  </si>
  <si>
    <t>NPV Formula</t>
  </si>
  <si>
    <t>PE5* EPS*(1+g)^5</t>
  </si>
  <si>
    <t>Compute the dividends over the next five years.</t>
  </si>
  <si>
    <t>Compute the value of this stock in five years.</t>
  </si>
  <si>
    <t>Dividend Initiation and Stock Value</t>
  </si>
  <si>
    <t>Compute the current value of this stock.</t>
  </si>
  <si>
    <t>R</t>
  </si>
  <si>
    <t>Year used in Discounting</t>
  </si>
  <si>
    <t xml:space="preserve">Constant Growth </t>
  </si>
  <si>
    <t>Po</t>
  </si>
  <si>
    <t>Learning Objective:  Understand and calculate an amoritzation table.</t>
  </si>
  <si>
    <t>Enter the data for the first three months only.</t>
  </si>
  <si>
    <t xml:space="preserve">Question </t>
  </si>
  <si>
    <t>What it is EAR on the VISA card?</t>
  </si>
  <si>
    <t>What is the EAR on the Master card?</t>
  </si>
  <si>
    <t>N -Years until Div Iniations (D1)</t>
  </si>
  <si>
    <t>Year</t>
  </si>
  <si>
    <t>Cost of Pref Stock-w/o flotation</t>
  </si>
  <si>
    <t>Which card should you prefer?</t>
  </si>
  <si>
    <t>Monthly</t>
  </si>
  <si>
    <t>At the end of the year, (with no payments), calculate the interest that has accumulated during the year and the total amount you owe at the end of the year?"</t>
  </si>
  <si>
    <t xml:space="preserve">Amount Outstanding </t>
  </si>
  <si>
    <t>Interest Accumulated</t>
  </si>
  <si>
    <t>End of Year Amount Outstanding</t>
  </si>
  <si>
    <t>Retirement</t>
  </si>
  <si>
    <t>Age</t>
  </si>
  <si>
    <t xml:space="preserve">PMT </t>
  </si>
  <si>
    <t>N</t>
  </si>
  <si>
    <t>Rate of Return</t>
  </si>
  <si>
    <t>Nper</t>
  </si>
  <si>
    <t>Return per period</t>
  </si>
  <si>
    <t>FVA</t>
  </si>
  <si>
    <t>Monthly/Monthly</t>
  </si>
  <si>
    <t>FV rollover</t>
  </si>
  <si>
    <t>FV PMT Stream</t>
  </si>
  <si>
    <t>FV Total</t>
  </si>
  <si>
    <t xml:space="preserve">(Assume semiannual compounding and a $1,000 par value). </t>
  </si>
  <si>
    <t>What is the present value of the bond?</t>
  </si>
  <si>
    <t>What is the quoted bond price?</t>
  </si>
  <si>
    <t>Par</t>
  </si>
  <si>
    <t>Rate</t>
  </si>
  <si>
    <t>Cf</t>
  </si>
  <si>
    <t>Cpn per period</t>
  </si>
  <si>
    <t>Cpm PMT per period</t>
  </si>
  <si>
    <t>FV/ Par</t>
  </si>
  <si>
    <t>Yield per period</t>
  </si>
  <si>
    <t>Annual YTM</t>
  </si>
  <si>
    <t>Capital Gain</t>
  </si>
  <si>
    <t>Interest Earned</t>
  </si>
  <si>
    <t>Total Return $$</t>
  </si>
  <si>
    <t>Total Return %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</si>
  <si>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What is the yield on the bond?</t>
    </r>
  </si>
  <si>
    <t>What is the PV of the bond at the time of the sale?</t>
  </si>
  <si>
    <t>What is the capital gain on this transaction?</t>
  </si>
  <si>
    <t>What is the interest earned?</t>
  </si>
  <si>
    <t>What it the total return $$ amount earned?</t>
  </si>
  <si>
    <t>What is the total return % earned?</t>
  </si>
  <si>
    <t xml:space="preserve"> Yields of a Bond</t>
  </si>
  <si>
    <t>A 4.50 percent coupon municipal bond has 15 years left to maturity and has a price quote of 98.45%. The bond can be called in five years. The call premium is one year of coupon payments. (Assume interest payments are semiannual and it has a par value of $1,000.)</t>
  </si>
  <si>
    <t>Compute the bond’s current yield.</t>
  </si>
  <si>
    <t>Compute the yield to maturity.</t>
  </si>
  <si>
    <t>Compute the taxable equivalent yield (for an investor in the 36 percent marginal tax bracket).</t>
  </si>
  <si>
    <t>Compute the yield to call.</t>
  </si>
  <si>
    <t>BOND PRICE GIVEN (%)</t>
  </si>
  <si>
    <t xml:space="preserve">Tax Bracket </t>
  </si>
  <si>
    <t>Maturity Remaining (years)</t>
  </si>
  <si>
    <t xml:space="preserve">Call </t>
  </si>
  <si>
    <t>Annual Coupon Payment (PMT-$$)</t>
  </si>
  <si>
    <t>Nper - Maturity</t>
  </si>
  <si>
    <t>Nper - Call</t>
  </si>
  <si>
    <t>S/A Cpn Payment</t>
  </si>
  <si>
    <t>PV or Price of the Bond Value in $$ -offering</t>
  </si>
  <si>
    <t>Call Premium</t>
  </si>
  <si>
    <t>FV with Call Premium</t>
  </si>
  <si>
    <t xml:space="preserve">Current Yield </t>
  </si>
  <si>
    <t>Market Interest Rate (YTM)</t>
  </si>
  <si>
    <t>Yield to Call S/A</t>
  </si>
  <si>
    <t>Yield to Call - Annual</t>
  </si>
  <si>
    <t>Taxable Equivalent Yield</t>
  </si>
  <si>
    <t>Linked</t>
  </si>
  <si>
    <t>Port Mkt Value</t>
  </si>
  <si>
    <t>Security</t>
  </si>
  <si>
    <t>Price per share</t>
  </si>
  <si>
    <t>Shares</t>
  </si>
  <si>
    <t>Mkt Value</t>
  </si>
  <si>
    <t>Wtd</t>
  </si>
  <si>
    <t>Cont Portfolio Beta</t>
  </si>
  <si>
    <t>Expected Return</t>
  </si>
  <si>
    <t>Div</t>
  </si>
  <si>
    <t>P1 - Fair Value</t>
  </si>
  <si>
    <t>Expect P1</t>
  </si>
  <si>
    <t>Int Value P0</t>
  </si>
  <si>
    <t>Over (Under) Value</t>
  </si>
  <si>
    <t>Bp</t>
  </si>
  <si>
    <t>A</t>
  </si>
  <si>
    <t>B1</t>
  </si>
  <si>
    <t>B</t>
  </si>
  <si>
    <t>B2</t>
  </si>
  <si>
    <t>Portfolio</t>
  </si>
  <si>
    <t>w1</t>
  </si>
  <si>
    <t>P1=P0*(1+r)-D1</t>
  </si>
  <si>
    <t>P0=(P1+D1)/((1+r)</t>
  </si>
  <si>
    <t>w2</t>
  </si>
  <si>
    <t>Rm</t>
  </si>
  <si>
    <t>RfR</t>
  </si>
  <si>
    <t>Security A</t>
  </si>
  <si>
    <t>Security B</t>
  </si>
  <si>
    <t>Security A expected return</t>
  </si>
  <si>
    <t>Security B expected return</t>
  </si>
  <si>
    <t>Security B fair price in 1 year</t>
  </si>
  <si>
    <t>Security A fair price in 1 year</t>
  </si>
  <si>
    <t>At the analyst valuation, the intrinsic value (Po) for Security A is:</t>
  </si>
  <si>
    <t>Stock Valuation  (Over or Under)</t>
  </si>
  <si>
    <t>By what amount?</t>
  </si>
  <si>
    <t>8 points awarded for everything right except #6</t>
  </si>
  <si>
    <t>Problem 8-18 Variable Growth (LG8-6)</t>
  </si>
  <si>
    <t>NPV Version</t>
  </si>
  <si>
    <t>Do</t>
  </si>
  <si>
    <t xml:space="preserve">Year </t>
  </si>
  <si>
    <t xml:space="preserve">Terminal </t>
  </si>
  <si>
    <t>g1 (1-3)</t>
  </si>
  <si>
    <t>Yearly Dividends</t>
  </si>
  <si>
    <t xml:space="preserve">g2 </t>
  </si>
  <si>
    <t>Terminal Value</t>
  </si>
  <si>
    <t>P0(value)</t>
  </si>
  <si>
    <t>N*</t>
  </si>
  <si>
    <t>PV -Math Formula</t>
  </si>
  <si>
    <t>Learning Objective:   Calculate the cost of equity using CAPM model based on retained earnings -i.e.  without flotation costs</t>
  </si>
  <si>
    <t>IBM Corp</t>
  </si>
  <si>
    <t>IBM</t>
  </si>
  <si>
    <t>Based upon the informaton below,: What is the IBM Corp's cost of equity using retained earnings?</t>
  </si>
  <si>
    <t>Market Price</t>
  </si>
  <si>
    <t>RFR</t>
  </si>
  <si>
    <t>Return Mkt</t>
  </si>
  <si>
    <t>Cost of Equity - Retained Earnings</t>
  </si>
  <si>
    <t>Learning Objective:   Apply WACC to determine if the big company should purchase the small company - what is the most it would pay?</t>
  </si>
  <si>
    <t>Big Firm</t>
  </si>
  <si>
    <t>Small Firm</t>
  </si>
  <si>
    <t>Expected perptual after-tax cashflow</t>
  </si>
  <si>
    <t>The project has the same risk as the firm’s overall operations and must be financed externally.</t>
  </si>
  <si>
    <t>What is the Big Firm's WACC?</t>
  </si>
  <si>
    <t>What is the most the firm can pay for the project today  and still earn its required return?</t>
  </si>
  <si>
    <t>Firm Total</t>
  </si>
  <si>
    <t>Cost of Equity w/flotation</t>
  </si>
  <si>
    <t>Debt Cost</t>
  </si>
  <si>
    <t xml:space="preserve">WACC </t>
  </si>
  <si>
    <t>After Tax Cash flow project - perpetual</t>
  </si>
  <si>
    <t>Perpetuity Formula</t>
  </si>
  <si>
    <t>PV of small company - most pay for</t>
  </si>
  <si>
    <t>Beginning</t>
  </si>
  <si>
    <t xml:space="preserve">time </t>
  </si>
  <si>
    <t>Learning Objective:  Time</t>
  </si>
  <si>
    <t>How long does it take $5,000 to grow to $10,000 at a 9% annual APR</t>
  </si>
  <si>
    <t>Rule of 72</t>
  </si>
  <si>
    <t>Fed EX Share</t>
  </si>
  <si>
    <t>Begin</t>
  </si>
  <si>
    <t>Dividend</t>
  </si>
  <si>
    <t>End</t>
  </si>
  <si>
    <t>Dollar Return</t>
  </si>
  <si>
    <t>Percent Return</t>
  </si>
  <si>
    <t>AA</t>
  </si>
  <si>
    <t>Best Buy</t>
  </si>
  <si>
    <t>Ford</t>
  </si>
  <si>
    <t>% of Portfolio</t>
  </si>
  <si>
    <t>$$ to spend</t>
  </si>
  <si>
    <t>Approx</t>
  </si>
  <si>
    <t>Pmt</t>
  </si>
  <si>
    <t>FV</t>
  </si>
  <si>
    <t>NPR</t>
  </si>
  <si>
    <t>Years</t>
  </si>
  <si>
    <t>How long does it take $5,000 to grow to $10,000 at a 9.00% annual APR?</t>
  </si>
  <si>
    <t>Time</t>
  </si>
  <si>
    <t>VISA</t>
  </si>
  <si>
    <t>and a quoted bond prices of 100.00%</t>
  </si>
  <si>
    <t xml:space="preserve"> What is the yield on the bond?</t>
  </si>
  <si>
    <t>After receiving the first coupon payment, you sell the bond at a yield of  5.00%.</t>
  </si>
  <si>
    <t xml:space="preserve">A 15 year bond with semi-annual coupons payments, with a 6.00% coupon rate is valued at a bond $$ value $1,000 </t>
  </si>
  <si>
    <t>Create the amortization schedule for your new car loan of $25,000, paid monthly over 5 years using an 8.00% 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</si>
</sst>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%"/>
    <numFmt numFmtId="168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rgb="FF002E6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rgb="FF333333"/>
      <name val="Arial"/>
      <family val="2"/>
    </font>
    <font>
      <sz val="11"/>
      <color rgb="FF222222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2E60"/>
      <name val="Calibri"/>
      <family val="2"/>
      <scheme val="minor"/>
    </font>
    <font>
      <sz val="14"/>
      <color rgb="FF2D3B45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333333"/>
      <name val="Arial"/>
      <family val="2"/>
    </font>
    <font>
      <i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6"/>
      <color rgb="FF273540"/>
      <name val="Arial"/>
      <family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8">
    <xf numFmtId="0" fontId="0" fillId="0" borderId="0" xfId="0"/>
    <xf numFmtId="9" fontId="0" fillId="0" borderId="0" xfId="0" applyNumberFormat="1"/>
    <xf numFmtId="10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3" borderId="0" xfId="0" applyFill="1"/>
    <xf numFmtId="10" fontId="0" fillId="3" borderId="0" xfId="3" applyNumberFormat="1" applyFont="1" applyFill="1" applyBorder="1" applyAlignment="1">
      <alignment horizontal="right"/>
    </xf>
    <xf numFmtId="0" fontId="3" fillId="0" borderId="0" xfId="0" applyFont="1"/>
    <xf numFmtId="0" fontId="0" fillId="4" borderId="0" xfId="0" applyFill="1"/>
    <xf numFmtId="10" fontId="0" fillId="4" borderId="0" xfId="3" applyNumberFormat="1" applyFont="1" applyFill="1" applyBorder="1" applyAlignment="1">
      <alignment horizontal="right"/>
    </xf>
    <xf numFmtId="6" fontId="0" fillId="0" borderId="0" xfId="0" applyNumberFormat="1"/>
    <xf numFmtId="10" fontId="0" fillId="0" borderId="0" xfId="3" applyNumberFormat="1" applyFont="1"/>
    <xf numFmtId="8" fontId="0" fillId="0" borderId="0" xfId="0" applyNumberFormat="1"/>
    <xf numFmtId="0" fontId="0" fillId="5" borderId="0" xfId="0" applyFill="1"/>
    <xf numFmtId="9" fontId="0" fillId="5" borderId="0" xfId="3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5" borderId="0" xfId="1" applyNumberFormat="1" applyFont="1" applyFill="1" applyBorder="1" applyAlignment="1">
      <alignment horizontal="right"/>
    </xf>
    <xf numFmtId="44" fontId="0" fillId="5" borderId="0" xfId="2" applyFont="1" applyFill="1" applyBorder="1" applyAlignment="1">
      <alignment horizontal="right"/>
    </xf>
    <xf numFmtId="0" fontId="0" fillId="0" borderId="1" xfId="0" applyBorder="1"/>
    <xf numFmtId="10" fontId="0" fillId="3" borderId="0" xfId="3" applyNumberFormat="1" applyFont="1" applyFill="1"/>
    <xf numFmtId="0" fontId="0" fillId="0" borderId="2" xfId="0" applyBorder="1"/>
    <xf numFmtId="10" fontId="0" fillId="0" borderId="3" xfId="0" applyNumberFormat="1" applyBorder="1"/>
    <xf numFmtId="10" fontId="0" fillId="5" borderId="0" xfId="3" applyNumberFormat="1" applyFont="1" applyFill="1" applyBorder="1" applyAlignment="1">
      <alignment horizontal="right"/>
    </xf>
    <xf numFmtId="0" fontId="5" fillId="5" borderId="0" xfId="0" applyFont="1" applyFill="1"/>
    <xf numFmtId="165" fontId="0" fillId="5" borderId="0" xfId="2" applyNumberFormat="1" applyFont="1" applyFill="1" applyBorder="1" applyAlignment="1">
      <alignment horizontal="right"/>
    </xf>
    <xf numFmtId="165" fontId="0" fillId="3" borderId="0" xfId="2" applyNumberFormat="1" applyFont="1" applyFill="1" applyBorder="1" applyAlignment="1">
      <alignment horizontal="right"/>
    </xf>
    <xf numFmtId="165" fontId="0" fillId="0" borderId="0" xfId="2" applyNumberFormat="1" applyFont="1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5" xfId="0" applyBorder="1"/>
    <xf numFmtId="165" fontId="0" fillId="0" borderId="5" xfId="2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4" xfId="0" applyNumberFormat="1" applyBorder="1" applyAlignment="1">
      <alignment horizontal="right"/>
    </xf>
    <xf numFmtId="10" fontId="0" fillId="0" borderId="0" xfId="3" applyNumberFormat="1" applyFont="1" applyAlignment="1">
      <alignment horizontal="right"/>
    </xf>
    <xf numFmtId="0" fontId="2" fillId="2" borderId="2" xfId="0" applyFont="1" applyFill="1" applyBorder="1"/>
    <xf numFmtId="10" fontId="0" fillId="6" borderId="3" xfId="0" applyNumberFormat="1" applyFill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7" fillId="0" borderId="0" xfId="0" applyFont="1"/>
    <xf numFmtId="0" fontId="0" fillId="0" borderId="10" xfId="0" applyBorder="1"/>
    <xf numFmtId="0" fontId="0" fillId="0" borderId="11" xfId="0" applyBorder="1" applyAlignment="1">
      <alignment horizontal="right"/>
    </xf>
    <xf numFmtId="0" fontId="8" fillId="0" borderId="0" xfId="0" applyFont="1" applyAlignment="1">
      <alignment horizontal="left" vertical="center" readingOrder="1"/>
    </xf>
    <xf numFmtId="0" fontId="7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 wrapText="1"/>
    </xf>
    <xf numFmtId="164" fontId="9" fillId="0" borderId="0" xfId="0" applyNumberFormat="1" applyFont="1" applyAlignment="1">
      <alignment horizontal="right"/>
    </xf>
    <xf numFmtId="44" fontId="9" fillId="0" borderId="0" xfId="0" applyNumberFormat="1" applyFont="1"/>
    <xf numFmtId="10" fontId="9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9" fillId="0" borderId="1" xfId="0" applyFont="1" applyBorder="1" applyAlignment="1">
      <alignment wrapText="1"/>
    </xf>
    <xf numFmtId="0" fontId="2" fillId="7" borderId="8" xfId="0" applyFont="1" applyFill="1" applyBorder="1"/>
    <xf numFmtId="0" fontId="2" fillId="7" borderId="9" xfId="0" applyFont="1" applyFill="1" applyBorder="1" applyAlignment="1">
      <alignment horizontal="right"/>
    </xf>
    <xf numFmtId="9" fontId="0" fillId="0" borderId="0" xfId="3" applyFon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0" fontId="0" fillId="5" borderId="0" xfId="3" applyNumberFormat="1" applyFont="1" applyFill="1"/>
    <xf numFmtId="0" fontId="0" fillId="8" borderId="0" xfId="0" applyFill="1"/>
    <xf numFmtId="44" fontId="0" fillId="8" borderId="0" xfId="0" applyNumberFormat="1" applyFill="1"/>
    <xf numFmtId="8" fontId="0" fillId="8" borderId="0" xfId="0" applyNumberFormat="1" applyFill="1"/>
    <xf numFmtId="44" fontId="0" fillId="0" borderId="0" xfId="0" applyNumberFormat="1"/>
    <xf numFmtId="0" fontId="15" fillId="2" borderId="1" xfId="0" applyFont="1" applyFill="1" applyBorder="1" applyAlignment="1">
      <alignment horizontal="left"/>
    </xf>
    <xf numFmtId="0" fontId="15" fillId="2" borderId="14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10" fontId="0" fillId="0" borderId="9" xfId="3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6" xfId="3" applyNumberFormat="1" applyFont="1" applyBorder="1" applyAlignment="1">
      <alignment horizontal="center"/>
    </xf>
    <xf numFmtId="10" fontId="0" fillId="0" borderId="7" xfId="3" applyNumberFormat="1" applyFon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8" fontId="0" fillId="5" borderId="0" xfId="0" applyNumberFormat="1" applyFill="1"/>
    <xf numFmtId="0" fontId="0" fillId="6" borderId="0" xfId="0" applyFill="1"/>
    <xf numFmtId="0" fontId="0" fillId="0" borderId="0" xfId="0" applyAlignment="1">
      <alignment horizontal="left"/>
    </xf>
    <xf numFmtId="9" fontId="0" fillId="5" borderId="0" xfId="3" applyFont="1" applyFill="1"/>
    <xf numFmtId="9" fontId="0" fillId="5" borderId="0" xfId="0" applyNumberFormat="1" applyFill="1"/>
    <xf numFmtId="8" fontId="0" fillId="0" borderId="1" xfId="0" applyNumberFormat="1" applyBorder="1"/>
    <xf numFmtId="0" fontId="17" fillId="9" borderId="0" xfId="0" applyFont="1" applyFill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8" fillId="0" borderId="0" xfId="0" applyFont="1"/>
    <xf numFmtId="0" fontId="16" fillId="0" borderId="0" xfId="0" applyFont="1"/>
    <xf numFmtId="1" fontId="0" fillId="0" borderId="0" xfId="0" applyNumberFormat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3" fillId="0" borderId="6" xfId="0" applyFont="1" applyBorder="1"/>
    <xf numFmtId="0" fontId="3" fillId="0" borderId="12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4" xfId="0" applyFont="1" applyBorder="1"/>
    <xf numFmtId="0" fontId="3" fillId="0" borderId="11" xfId="0" applyFont="1" applyBorder="1"/>
    <xf numFmtId="165" fontId="0" fillId="5" borderId="0" xfId="2" applyNumberFormat="1" applyFont="1" applyFill="1"/>
    <xf numFmtId="0" fontId="14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8" fontId="0" fillId="6" borderId="1" xfId="0" applyNumberFormat="1" applyFill="1" applyBorder="1"/>
    <xf numFmtId="0" fontId="19" fillId="0" borderId="0" xfId="0" applyFont="1"/>
    <xf numFmtId="0" fontId="19" fillId="0" borderId="1" xfId="0" applyFont="1" applyBorder="1"/>
    <xf numFmtId="8" fontId="19" fillId="0" borderId="0" xfId="0" applyNumberFormat="1" applyFont="1"/>
    <xf numFmtId="8" fontId="19" fillId="0" borderId="1" xfId="0" applyNumberFormat="1" applyFont="1" applyBorder="1"/>
    <xf numFmtId="6" fontId="0" fillId="5" borderId="0" xfId="0" applyNumberFormat="1" applyFill="1"/>
    <xf numFmtId="0" fontId="20" fillId="0" borderId="0" xfId="0" applyFont="1"/>
    <xf numFmtId="44" fontId="0" fillId="0" borderId="0" xfId="2" applyFont="1"/>
    <xf numFmtId="6" fontId="0" fillId="0" borderId="0" xfId="2" applyNumberFormat="1" applyFont="1"/>
    <xf numFmtId="0" fontId="3" fillId="3" borderId="0" xfId="0" applyFon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 indent="3"/>
    </xf>
    <xf numFmtId="0" fontId="22" fillId="0" borderId="0" xfId="0" applyFont="1" applyAlignment="1">
      <alignment vertical="center"/>
    </xf>
    <xf numFmtId="8" fontId="0" fillId="6" borderId="0" xfId="0" applyNumberFormat="1" applyFill="1"/>
    <xf numFmtId="0" fontId="6" fillId="6" borderId="2" xfId="0" applyFont="1" applyFill="1" applyBorder="1"/>
    <xf numFmtId="10" fontId="6" fillId="6" borderId="3" xfId="3" applyNumberFormat="1" applyFont="1" applyFill="1" applyBorder="1"/>
    <xf numFmtId="10" fontId="6" fillId="5" borderId="13" xfId="3" applyNumberFormat="1" applyFont="1" applyFill="1" applyBorder="1"/>
    <xf numFmtId="0" fontId="23" fillId="0" borderId="0" xfId="0" applyFont="1" applyAlignment="1">
      <alignment horizontal="left" vertical="center" indent="3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 indent="3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3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0" fontId="0" fillId="5" borderId="0" xfId="0" applyNumberFormat="1" applyFill="1"/>
    <xf numFmtId="0" fontId="0" fillId="5" borderId="6" xfId="0" applyFill="1" applyBorder="1"/>
    <xf numFmtId="9" fontId="0" fillId="5" borderId="7" xfId="3" applyFont="1" applyFill="1" applyBorder="1"/>
    <xf numFmtId="0" fontId="0" fillId="5" borderId="8" xfId="0" applyFill="1" applyBorder="1"/>
    <xf numFmtId="6" fontId="0" fillId="5" borderId="9" xfId="0" applyNumberFormat="1" applyFill="1" applyBorder="1"/>
    <xf numFmtId="0" fontId="0" fillId="5" borderId="9" xfId="0" applyFill="1" applyBorder="1"/>
    <xf numFmtId="0" fontId="28" fillId="5" borderId="8" xfId="0" applyFont="1" applyFill="1" applyBorder="1"/>
    <xf numFmtId="0" fontId="28" fillId="5" borderId="9" xfId="0" applyFont="1" applyFill="1" applyBorder="1"/>
    <xf numFmtId="10" fontId="0" fillId="5" borderId="9" xfId="3" applyNumberFormat="1" applyFont="1" applyFill="1" applyBorder="1"/>
    <xf numFmtId="0" fontId="0" fillId="3" borderId="10" xfId="0" applyFill="1" applyBorder="1"/>
    <xf numFmtId="8" fontId="0" fillId="3" borderId="11" xfId="0" applyNumberFormat="1" applyFill="1" applyBorder="1"/>
    <xf numFmtId="8" fontId="0" fillId="3" borderId="0" xfId="0" applyNumberFormat="1" applyFill="1"/>
    <xf numFmtId="10" fontId="0" fillId="6" borderId="0" xfId="3" applyNumberFormat="1" applyFont="1" applyFill="1"/>
    <xf numFmtId="10" fontId="0" fillId="3" borderId="0" xfId="0" applyNumberFormat="1" applyFill="1"/>
    <xf numFmtId="10" fontId="0" fillId="6" borderId="0" xfId="0" applyNumberFormat="1" applyFill="1"/>
    <xf numFmtId="0" fontId="3" fillId="5" borderId="6" xfId="0" applyFont="1" applyFill="1" applyBorder="1"/>
    <xf numFmtId="6" fontId="0" fillId="5" borderId="7" xfId="0" applyNumberFormat="1" applyFill="1" applyBorder="1"/>
    <xf numFmtId="0" fontId="29" fillId="2" borderId="25" xfId="0" applyFont="1" applyFill="1" applyBorder="1" applyAlignment="1">
      <alignment horizontal="left" vertical="center" wrapText="1" readingOrder="1"/>
    </xf>
    <xf numFmtId="0" fontId="29" fillId="2" borderId="26" xfId="0" applyFont="1" applyFill="1" applyBorder="1" applyAlignment="1">
      <alignment horizontal="left" vertical="center" wrapText="1" readingOrder="1"/>
    </xf>
    <xf numFmtId="0" fontId="29" fillId="2" borderId="26" xfId="0" applyFont="1" applyFill="1" applyBorder="1" applyAlignment="1">
      <alignment horizontal="center" vertical="center" wrapText="1" readingOrder="1"/>
    </xf>
    <xf numFmtId="0" fontId="29" fillId="2" borderId="27" xfId="0" applyFont="1" applyFill="1" applyBorder="1" applyAlignment="1">
      <alignment horizontal="center" vertical="center" wrapText="1" readingOrder="1"/>
    </xf>
    <xf numFmtId="0" fontId="29" fillId="2" borderId="0" xfId="0" applyFont="1" applyFill="1" applyAlignment="1">
      <alignment horizontal="left" vertical="center" wrapText="1" readingOrder="1"/>
    </xf>
    <xf numFmtId="0" fontId="29" fillId="2" borderId="0" xfId="0" applyFont="1" applyFill="1" applyAlignment="1">
      <alignment horizontal="center" vertical="center" wrapText="1" readingOrder="1"/>
    </xf>
    <xf numFmtId="0" fontId="3" fillId="5" borderId="10" xfId="0" applyFont="1" applyFill="1" applyBorder="1"/>
    <xf numFmtId="2" fontId="0" fillId="5" borderId="11" xfId="0" applyNumberFormat="1" applyFill="1" applyBorder="1"/>
    <xf numFmtId="0" fontId="30" fillId="0" borderId="13" xfId="0" applyFont="1" applyBorder="1" applyAlignment="1">
      <alignment horizontal="left" vertical="center" wrapText="1" readingOrder="1"/>
    </xf>
    <xf numFmtId="2" fontId="30" fillId="0" borderId="13" xfId="0" applyNumberFormat="1" applyFont="1" applyBorder="1" applyAlignment="1">
      <alignment horizontal="left" vertical="center" wrapText="1" readingOrder="1"/>
    </xf>
    <xf numFmtId="0" fontId="30" fillId="0" borderId="13" xfId="0" applyFont="1" applyBorder="1" applyAlignment="1">
      <alignment horizontal="center" vertical="center" wrapText="1" readingOrder="1"/>
    </xf>
    <xf numFmtId="44" fontId="0" fillId="0" borderId="13" xfId="2" applyFont="1" applyBorder="1"/>
    <xf numFmtId="0" fontId="0" fillId="0" borderId="13" xfId="0" applyBorder="1" applyAlignment="1">
      <alignment horizontal="center"/>
    </xf>
    <xf numFmtId="10" fontId="0" fillId="8" borderId="13" xfId="0" applyNumberFormat="1" applyFill="1" applyBorder="1" applyAlignment="1">
      <alignment horizontal="center"/>
    </xf>
    <xf numFmtId="0" fontId="0" fillId="0" borderId="13" xfId="0" applyBorder="1"/>
    <xf numFmtId="8" fontId="0" fillId="0" borderId="13" xfId="0" applyNumberFormat="1" applyBorder="1"/>
    <xf numFmtId="0" fontId="0" fillId="5" borderId="7" xfId="0" applyFill="1" applyBorder="1"/>
    <xf numFmtId="0" fontId="30" fillId="0" borderId="28" xfId="0" applyFont="1" applyBorder="1" applyAlignment="1">
      <alignment horizontal="left" vertical="center" wrapText="1" readingOrder="1"/>
    </xf>
    <xf numFmtId="2" fontId="30" fillId="0" borderId="28" xfId="0" applyNumberFormat="1" applyFont="1" applyBorder="1" applyAlignment="1">
      <alignment horizontal="left" vertical="center" wrapText="1" readingOrder="1"/>
    </xf>
    <xf numFmtId="44" fontId="0" fillId="0" borderId="28" xfId="2" applyFont="1" applyBorder="1"/>
    <xf numFmtId="0" fontId="0" fillId="0" borderId="28" xfId="0" applyBorder="1" applyAlignment="1">
      <alignment horizontal="center"/>
    </xf>
    <xf numFmtId="10" fontId="0" fillId="8" borderId="28" xfId="0" applyNumberFormat="1" applyFill="1" applyBorder="1" applyAlignment="1">
      <alignment horizontal="center"/>
    </xf>
    <xf numFmtId="8" fontId="6" fillId="8" borderId="13" xfId="0" applyNumberFormat="1" applyFont="1" applyFill="1" applyBorder="1"/>
    <xf numFmtId="0" fontId="0" fillId="5" borderId="11" xfId="0" applyFill="1" applyBorder="1"/>
    <xf numFmtId="0" fontId="19" fillId="2" borderId="13" xfId="0" applyFont="1" applyFill="1" applyBorder="1"/>
    <xf numFmtId="6" fontId="0" fillId="0" borderId="13" xfId="0" applyNumberFormat="1" applyBorder="1"/>
    <xf numFmtId="44" fontId="0" fillId="0" borderId="13" xfId="0" applyNumberFormat="1" applyBorder="1"/>
    <xf numFmtId="2" fontId="0" fillId="8" borderId="13" xfId="0" applyNumberFormat="1" applyFill="1" applyBorder="1" applyAlignment="1">
      <alignment horizontal="center"/>
    </xf>
    <xf numFmtId="9" fontId="0" fillId="0" borderId="13" xfId="3" applyFont="1" applyFill="1" applyBorder="1" applyAlignment="1">
      <alignment horizontal="center"/>
    </xf>
    <xf numFmtId="0" fontId="3" fillId="3" borderId="8" xfId="0" applyFont="1" applyFill="1" applyBorder="1"/>
    <xf numFmtId="0" fontId="0" fillId="0" borderId="0" xfId="0" quotePrefix="1"/>
    <xf numFmtId="0" fontId="3" fillId="3" borderId="10" xfId="0" applyFont="1" applyFill="1" applyBorder="1"/>
    <xf numFmtId="1" fontId="18" fillId="0" borderId="0" xfId="0" quotePrefix="1" applyNumberFormat="1" applyFont="1"/>
    <xf numFmtId="10" fontId="18" fillId="0" borderId="0" xfId="0" applyNumberFormat="1" applyFont="1"/>
    <xf numFmtId="8" fontId="18" fillId="0" borderId="0" xfId="0" applyNumberFormat="1" applyFont="1"/>
    <xf numFmtId="0" fontId="2" fillId="2" borderId="29" xfId="0" applyFont="1" applyFill="1" applyBorder="1"/>
    <xf numFmtId="0" fontId="2" fillId="2" borderId="3" xfId="0" applyFont="1" applyFill="1" applyBorder="1"/>
    <xf numFmtId="0" fontId="0" fillId="0" borderId="8" xfId="0" applyBorder="1"/>
    <xf numFmtId="0" fontId="0" fillId="0" borderId="30" xfId="0" applyBorder="1"/>
    <xf numFmtId="8" fontId="0" fillId="0" borderId="13" xfId="0" applyNumberFormat="1" applyBorder="1" applyAlignment="1">
      <alignment horizontal="center"/>
    </xf>
    <xf numFmtId="0" fontId="0" fillId="0" borderId="24" xfId="0" applyBorder="1"/>
    <xf numFmtId="8" fontId="0" fillId="8" borderId="13" xfId="0" applyNumberForma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0" borderId="15" xfId="0" applyBorder="1"/>
    <xf numFmtId="9" fontId="0" fillId="0" borderId="0" xfId="3" applyFont="1" applyBorder="1"/>
    <xf numFmtId="8" fontId="0" fillId="0" borderId="9" xfId="0" applyNumberFormat="1" applyBorder="1"/>
    <xf numFmtId="8" fontId="0" fillId="0" borderId="4" xfId="0" applyNumberFormat="1" applyBorder="1" applyAlignment="1">
      <alignment horizontal="center"/>
    </xf>
    <xf numFmtId="8" fontId="0" fillId="0" borderId="4" xfId="0" applyNumberFormat="1" applyBorder="1"/>
    <xf numFmtId="8" fontId="0" fillId="0" borderId="11" xfId="0" applyNumberFormat="1" applyBorder="1"/>
    <xf numFmtId="1" fontId="0" fillId="0" borderId="4" xfId="0" applyNumberFormat="1" applyBorder="1"/>
    <xf numFmtId="8" fontId="0" fillId="8" borderId="4" xfId="0" applyNumberFormat="1" applyFill="1" applyBorder="1" applyAlignment="1">
      <alignment horizontal="center"/>
    </xf>
    <xf numFmtId="0" fontId="27" fillId="0" borderId="0" xfId="0" applyFont="1" applyAlignment="1">
      <alignment vertical="center"/>
    </xf>
    <xf numFmtId="0" fontId="27" fillId="0" borderId="6" xfId="0" applyFont="1" applyBorder="1" applyAlignment="1">
      <alignment vertical="center"/>
    </xf>
    <xf numFmtId="10" fontId="0" fillId="0" borderId="4" xfId="3" applyNumberFormat="1" applyFont="1" applyBorder="1"/>
    <xf numFmtId="0" fontId="0" fillId="5" borderId="2" xfId="0" applyFill="1" applyBorder="1"/>
    <xf numFmtId="10" fontId="0" fillId="5" borderId="3" xfId="0" applyNumberFormat="1" applyFill="1" applyBorder="1"/>
    <xf numFmtId="8" fontId="0" fillId="5" borderId="3" xfId="0" applyNumberFormat="1" applyFill="1" applyBorder="1"/>
    <xf numFmtId="8" fontId="0" fillId="5" borderId="13" xfId="0" applyNumberFormat="1" applyFill="1" applyBorder="1"/>
    <xf numFmtId="44" fontId="30" fillId="5" borderId="13" xfId="2" applyFont="1" applyFill="1" applyBorder="1" applyAlignment="1">
      <alignment horizontal="left" vertical="center" wrapText="1" readingOrder="1"/>
    </xf>
    <xf numFmtId="44" fontId="30" fillId="5" borderId="28" xfId="2" applyFont="1" applyFill="1" applyBorder="1" applyAlignment="1">
      <alignment horizontal="left" vertical="center" wrapText="1" readingOrder="1"/>
    </xf>
    <xf numFmtId="168" fontId="0" fillId="0" borderId="0" xfId="0" applyNumberFormat="1"/>
    <xf numFmtId="9" fontId="0" fillId="0" borderId="0" xfId="0" applyNumberFormat="1" applyAlignment="1">
      <alignment horizontal="center"/>
    </xf>
    <xf numFmtId="10" fontId="0" fillId="3" borderId="9" xfId="3" applyNumberFormat="1" applyFont="1" applyFill="1" applyBorder="1"/>
    <xf numFmtId="10" fontId="0" fillId="3" borderId="11" xfId="0" applyNumberFormat="1" applyFill="1" applyBorder="1"/>
    <xf numFmtId="10" fontId="0" fillId="0" borderId="13" xfId="3" applyNumberFormat="1" applyFont="1" applyBorder="1"/>
    <xf numFmtId="10" fontId="0" fillId="0" borderId="28" xfId="3" applyNumberFormat="1" applyFont="1" applyBorder="1"/>
    <xf numFmtId="0" fontId="3" fillId="0" borderId="0" xfId="0" applyFont="1" applyAlignment="1">
      <alignment horizontal="center"/>
    </xf>
    <xf numFmtId="0" fontId="2" fillId="2" borderId="6" xfId="0" applyFont="1" applyFill="1" applyBorder="1"/>
    <xf numFmtId="0" fontId="3" fillId="5" borderId="8" xfId="0" applyFont="1" applyFill="1" applyBorder="1"/>
    <xf numFmtId="164" fontId="3" fillId="5" borderId="9" xfId="1" applyNumberFormat="1" applyFont="1" applyFill="1" applyBorder="1" applyAlignment="1">
      <alignment horizontal="right"/>
    </xf>
    <xf numFmtId="44" fontId="3" fillId="5" borderId="9" xfId="2" applyFont="1" applyFill="1" applyBorder="1"/>
    <xf numFmtId="44" fontId="0" fillId="5" borderId="9" xfId="2" applyFont="1" applyFill="1" applyBorder="1"/>
    <xf numFmtId="9" fontId="0" fillId="0" borderId="9" xfId="0" applyNumberFormat="1" applyBorder="1"/>
    <xf numFmtId="0" fontId="0" fillId="0" borderId="14" xfId="0" applyBorder="1"/>
    <xf numFmtId="10" fontId="0" fillId="0" borderId="9" xfId="0" applyNumberFormat="1" applyBorder="1"/>
    <xf numFmtId="0" fontId="6" fillId="3" borderId="8" xfId="0" applyFont="1" applyFill="1" applyBorder="1"/>
    <xf numFmtId="10" fontId="6" fillId="3" borderId="9" xfId="0" applyNumberFormat="1" applyFont="1" applyFill="1" applyBorder="1"/>
    <xf numFmtId="166" fontId="0" fillId="0" borderId="9" xfId="0" applyNumberFormat="1" applyBorder="1"/>
    <xf numFmtId="0" fontId="0" fillId="0" borderId="8" xfId="0" applyBorder="1" applyAlignment="1">
      <alignment wrapText="1"/>
    </xf>
    <xf numFmtId="167" fontId="0" fillId="0" borderId="9" xfId="0" applyNumberFormat="1" applyBorder="1"/>
    <xf numFmtId="0" fontId="0" fillId="4" borderId="8" xfId="0" applyFill="1" applyBorder="1"/>
    <xf numFmtId="164" fontId="3" fillId="5" borderId="9" xfId="1" applyNumberFormat="1" applyFont="1" applyFill="1" applyBorder="1"/>
    <xf numFmtId="9" fontId="0" fillId="5" borderId="9" xfId="0" applyNumberFormat="1" applyFill="1" applyBorder="1"/>
    <xf numFmtId="0" fontId="0" fillId="3" borderId="8" xfId="0" applyFill="1" applyBorder="1"/>
    <xf numFmtId="166" fontId="0" fillId="0" borderId="9" xfId="3" applyNumberFormat="1" applyFont="1" applyFill="1" applyBorder="1"/>
    <xf numFmtId="0" fontId="0" fillId="4" borderId="10" xfId="0" applyFill="1" applyBorder="1"/>
    <xf numFmtId="0" fontId="3" fillId="5" borderId="8" xfId="0" applyFont="1" applyFill="1" applyBorder="1" applyAlignment="1">
      <alignment wrapText="1"/>
    </xf>
    <xf numFmtId="165" fontId="3" fillId="5" borderId="0" xfId="2" applyNumberFormat="1" applyFont="1" applyFill="1" applyBorder="1" applyAlignment="1">
      <alignment wrapText="1"/>
    </xf>
    <xf numFmtId="10" fontId="0" fillId="5" borderId="0" xfId="3" applyNumberFormat="1" applyFont="1" applyFill="1" applyBorder="1"/>
    <xf numFmtId="10" fontId="3" fillId="5" borderId="0" xfId="3" applyNumberFormat="1" applyFont="1" applyFill="1" applyBorder="1"/>
    <xf numFmtId="10" fontId="0" fillId="6" borderId="3" xfId="3" applyNumberFormat="1" applyFont="1" applyFill="1" applyBorder="1"/>
    <xf numFmtId="10" fontId="0" fillId="6" borderId="11" xfId="3" applyNumberFormat="1" applyFont="1" applyFill="1" applyBorder="1"/>
    <xf numFmtId="10" fontId="0" fillId="6" borderId="9" xfId="0" applyNumberFormat="1" applyFill="1" applyBorder="1"/>
    <xf numFmtId="167" fontId="0" fillId="0" borderId="0" xfId="0" applyNumberFormat="1"/>
    <xf numFmtId="165" fontId="0" fillId="0" borderId="0" xfId="2" applyNumberFormat="1" applyFont="1"/>
    <xf numFmtId="164" fontId="0" fillId="0" borderId="0" xfId="1" applyNumberFormat="1" applyFont="1"/>
    <xf numFmtId="2" fontId="0" fillId="0" borderId="0" xfId="0" applyNumberFormat="1" applyAlignment="1">
      <alignment horizontal="left" indent="7"/>
    </xf>
    <xf numFmtId="0" fontId="31" fillId="0" borderId="0" xfId="0" applyFont="1"/>
    <xf numFmtId="0" fontId="32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wrapText="1"/>
    </xf>
    <xf numFmtId="0" fontId="2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12FA-7D55-4765-8FAB-215F7C73D4DC}">
  <sheetPr>
    <tabColor rgb="FF002060"/>
  </sheetPr>
  <dimension ref="A2:C25"/>
  <sheetViews>
    <sheetView workbookViewId="0">
      <selection activeCell="E14" sqref="E14"/>
    </sheetView>
  </sheetViews>
  <sheetFormatPr defaultRowHeight="15" x14ac:dyDescent="0.25"/>
  <cols>
    <col min="1" max="1" width="32.7109375" customWidth="1"/>
    <col min="2" max="2" width="26.28515625" customWidth="1"/>
    <col min="3" max="3" width="15.85546875" customWidth="1"/>
    <col min="7" max="7" width="15.28515625" customWidth="1"/>
  </cols>
  <sheetData>
    <row r="2" spans="1:3" x14ac:dyDescent="0.25">
      <c r="A2" s="61" t="s">
        <v>62</v>
      </c>
    </row>
    <row r="3" spans="1:3" ht="15.75" customHeight="1" x14ac:dyDescent="0.25">
      <c r="A3" s="118" t="str">
        <f>"You must choose between a " &amp;TEXT(B9,"")&amp; " credit card charging an APR of " &amp;TEXT(B10,"0.00%")&amp; " with daily compounding or a " &amp;TEXT(C9,"")&amp;" with an APR of "&amp;TEXT(C10,"0.00%") &amp;"with monthly compounding."</f>
        <v>You must choose between a Visa credit card charging an APR of 18.25% with daily compounding or a Master Card with an APR of 19.00%with monthly compounding.</v>
      </c>
    </row>
    <row r="4" spans="1:3" x14ac:dyDescent="0.25">
      <c r="A4" s="118" t="s">
        <v>130</v>
      </c>
    </row>
    <row r="5" spans="1:3" x14ac:dyDescent="0.25">
      <c r="A5" t="s">
        <v>131</v>
      </c>
    </row>
    <row r="6" spans="1:3" x14ac:dyDescent="0.25">
      <c r="A6" t="s">
        <v>135</v>
      </c>
    </row>
    <row r="8" spans="1:3" x14ac:dyDescent="0.25">
      <c r="B8" s="261" t="s">
        <v>129</v>
      </c>
      <c r="C8" s="262"/>
    </row>
    <row r="9" spans="1:3" ht="16.5" thickBot="1" x14ac:dyDescent="0.3">
      <c r="A9" s="71" t="s">
        <v>90</v>
      </c>
      <c r="B9" s="72" t="s">
        <v>91</v>
      </c>
      <c r="C9" s="73" t="s">
        <v>92</v>
      </c>
    </row>
    <row r="10" spans="1:3" ht="15.75" thickTop="1" x14ac:dyDescent="0.25">
      <c r="A10" t="s">
        <v>93</v>
      </c>
      <c r="B10" s="74">
        <v>0.1825</v>
      </c>
      <c r="C10" s="75">
        <v>0.19</v>
      </c>
    </row>
    <row r="11" spans="1:3" x14ac:dyDescent="0.25">
      <c r="A11" t="s">
        <v>94</v>
      </c>
      <c r="B11" s="76">
        <v>365</v>
      </c>
      <c r="C11" s="77">
        <v>12</v>
      </c>
    </row>
    <row r="12" spans="1:3" x14ac:dyDescent="0.25">
      <c r="B12" s="76" t="s">
        <v>95</v>
      </c>
      <c r="C12" s="77" t="s">
        <v>136</v>
      </c>
    </row>
    <row r="13" spans="1:3" x14ac:dyDescent="0.25">
      <c r="B13" s="76"/>
      <c r="C13" s="77"/>
    </row>
    <row r="14" spans="1:3" x14ac:dyDescent="0.25">
      <c r="A14" s="38" t="s">
        <v>96</v>
      </c>
      <c r="B14" s="78">
        <f t="shared" ref="B14:C14" si="0">EFFECT(B10,B11)</f>
        <v>0.20015941067769893</v>
      </c>
      <c r="C14" s="79">
        <f t="shared" si="0"/>
        <v>0.20745099812976942</v>
      </c>
    </row>
    <row r="15" spans="1:3" x14ac:dyDescent="0.25">
      <c r="A15" s="80" t="s">
        <v>97</v>
      </c>
      <c r="B15" s="81"/>
      <c r="C15" s="82"/>
    </row>
    <row r="16" spans="1:3" x14ac:dyDescent="0.25">
      <c r="B16" t="str">
        <f ca="1">_xlfn.FORMULATEXT(B14)</f>
        <v>=EFFECT(B10,B11)</v>
      </c>
      <c r="C16" t="str">
        <f ca="1">_xlfn.FORMULATEXT(C14)</f>
        <v>=EFFECT(C10,C11)</v>
      </c>
    </row>
    <row r="17" spans="1:3" x14ac:dyDescent="0.25">
      <c r="A17" t="s">
        <v>98</v>
      </c>
      <c r="B17" s="64" t="s">
        <v>289</v>
      </c>
    </row>
    <row r="18" spans="1:3" x14ac:dyDescent="0.25">
      <c r="A18" s="61" t="s">
        <v>62</v>
      </c>
    </row>
    <row r="19" spans="1:3" ht="21" x14ac:dyDescent="0.35">
      <c r="A19" s="126" t="str">
        <f>"Now assume you have "&amp; TEXT(B22,"$0,000") &amp; " credit outstanding (loan balance) on the Visa credit card at the beginning of the year."</f>
        <v>Now assume you have $5,000 credit outstanding (loan balance) on the Visa credit card at the beginning of the year.</v>
      </c>
    </row>
    <row r="20" spans="1:3" ht="21" x14ac:dyDescent="0.35">
      <c r="A20" s="126" t="s">
        <v>137</v>
      </c>
    </row>
    <row r="22" spans="1:3" x14ac:dyDescent="0.25">
      <c r="A22" t="s">
        <v>138</v>
      </c>
      <c r="B22" s="10">
        <v>5000</v>
      </c>
    </row>
    <row r="23" spans="1:3" x14ac:dyDescent="0.25">
      <c r="A23" t="s">
        <v>139</v>
      </c>
      <c r="B23" s="12">
        <f>B22*B14</f>
        <v>1000.7970533884946</v>
      </c>
      <c r="C23" t="str">
        <f t="shared" ref="C23:C24" ca="1" si="1">_xlfn.FORMULATEXT(B23)</f>
        <v>=B22*B14</v>
      </c>
    </row>
    <row r="24" spans="1:3" x14ac:dyDescent="0.25">
      <c r="A24" t="s">
        <v>140</v>
      </c>
      <c r="B24" s="12">
        <f>B23+B22</f>
        <v>6000.7970533884945</v>
      </c>
      <c r="C24" t="str">
        <f t="shared" ca="1" si="1"/>
        <v>=B23+B22</v>
      </c>
    </row>
    <row r="25" spans="1:3" x14ac:dyDescent="0.25">
      <c r="B25" s="12"/>
    </row>
  </sheetData>
  <mergeCells count="1"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DD99-F9ED-426D-BBBC-222388BB61D8}">
  <sheetPr>
    <tabColor rgb="FF002060"/>
  </sheetPr>
  <dimension ref="A1:F26"/>
  <sheetViews>
    <sheetView tabSelected="1" workbookViewId="0">
      <selection activeCell="A25" sqref="A25:F26"/>
    </sheetView>
  </sheetViews>
  <sheetFormatPr defaultRowHeight="15" x14ac:dyDescent="0.25"/>
  <cols>
    <col min="1" max="1" width="19.85546875" customWidth="1"/>
    <col min="2" max="2" width="21.140625" customWidth="1"/>
    <col min="3" max="3" width="13.85546875" customWidth="1"/>
    <col min="4" max="4" width="17.5703125" customWidth="1"/>
    <col min="5" max="5" width="14" customWidth="1"/>
    <col min="6" max="6" width="19.5703125" customWidth="1"/>
  </cols>
  <sheetData>
    <row r="1" spans="1:6" x14ac:dyDescent="0.25">
      <c r="A1" t="s">
        <v>127</v>
      </c>
    </row>
    <row r="2" spans="1:6" x14ac:dyDescent="0.25">
      <c r="A2" s="61" t="s">
        <v>62</v>
      </c>
    </row>
    <row r="3" spans="1:6" x14ac:dyDescent="0.25">
      <c r="A3" s="109"/>
      <c r="B3" s="110"/>
      <c r="C3" s="110"/>
      <c r="D3" s="110"/>
      <c r="E3" s="110"/>
      <c r="F3" s="111"/>
    </row>
    <row r="4" spans="1:6" x14ac:dyDescent="0.25">
      <c r="A4" s="112" t="str">
        <f>"Create the amortization schedule for your new car loan of " &amp;TEXT(B7,"$0,000")&amp;", paid monthly over " &amp;TEXT(B9,"0")&amp; " years using an " &amp; TEXT(B8,"0.00%") &amp;" APR."</f>
        <v>Create the amortization schedule for your new car loan of $25,000, paid monthly over 5 years using an 8.00% APR.</v>
      </c>
      <c r="B4" s="7"/>
      <c r="C4" s="7"/>
      <c r="D4" s="7"/>
      <c r="E4" s="7"/>
      <c r="F4" s="113"/>
    </row>
    <row r="5" spans="1:6" x14ac:dyDescent="0.25">
      <c r="A5" s="114" t="s">
        <v>128</v>
      </c>
      <c r="B5" s="115"/>
      <c r="C5" s="115"/>
      <c r="D5" s="115"/>
      <c r="E5" s="115"/>
      <c r="F5" s="116"/>
    </row>
    <row r="7" spans="1:6" x14ac:dyDescent="0.25">
      <c r="A7" s="13" t="s">
        <v>77</v>
      </c>
      <c r="B7" s="117">
        <v>25000</v>
      </c>
    </row>
    <row r="8" spans="1:6" x14ac:dyDescent="0.25">
      <c r="A8" s="13" t="s">
        <v>79</v>
      </c>
      <c r="B8" s="66">
        <v>0.08</v>
      </c>
    </row>
    <row r="9" spans="1:6" x14ac:dyDescent="0.25">
      <c r="A9" s="13" t="s">
        <v>80</v>
      </c>
      <c r="B9" s="13">
        <v>5</v>
      </c>
    </row>
    <row r="10" spans="1:6" x14ac:dyDescent="0.25">
      <c r="A10" s="5" t="s">
        <v>78</v>
      </c>
      <c r="B10" s="5">
        <v>12</v>
      </c>
    </row>
    <row r="11" spans="1:6" x14ac:dyDescent="0.25">
      <c r="A11" s="5" t="s">
        <v>81</v>
      </c>
      <c r="B11" s="5">
        <f>B9*B10</f>
        <v>60</v>
      </c>
    </row>
    <row r="12" spans="1:6" x14ac:dyDescent="0.25">
      <c r="A12" s="5" t="s">
        <v>82</v>
      </c>
      <c r="B12" s="19">
        <f>B8/B10</f>
        <v>6.6666666666666671E-3</v>
      </c>
    </row>
    <row r="14" spans="1:6" x14ac:dyDescent="0.25">
      <c r="A14" s="67" t="s">
        <v>83</v>
      </c>
      <c r="B14" s="12">
        <f>PMT(B12,B11,B7)</f>
        <v>-506.90985721034207</v>
      </c>
    </row>
    <row r="16" spans="1:6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</row>
    <row r="17" spans="1:6" x14ac:dyDescent="0.25">
      <c r="A17">
        <v>1</v>
      </c>
      <c r="B17" s="68">
        <f>B7</f>
        <v>25000</v>
      </c>
      <c r="C17" s="69">
        <f>-$B$14</f>
        <v>506.90985721034207</v>
      </c>
      <c r="D17" s="68">
        <f>B17*B12</f>
        <v>166.66666666666669</v>
      </c>
      <c r="E17" s="69">
        <f>C17-D17</f>
        <v>340.24319054367538</v>
      </c>
      <c r="F17" s="68">
        <f>B17-E17</f>
        <v>24659.756809456325</v>
      </c>
    </row>
    <row r="18" spans="1:6" x14ac:dyDescent="0.25">
      <c r="A18">
        <v>2</v>
      </c>
      <c r="B18" s="68">
        <f>F17</f>
        <v>24659.756809456325</v>
      </c>
      <c r="C18" s="12">
        <f t="shared" ref="C18:C19" si="0">-$B$14</f>
        <v>506.90985721034207</v>
      </c>
      <c r="D18" s="68">
        <f t="shared" ref="D18:D19" si="1">B18*$B$8/12</f>
        <v>164.39837872970884</v>
      </c>
      <c r="E18" s="69">
        <f t="shared" ref="E18:E19" si="2">C18-D18</f>
        <v>342.51147848063323</v>
      </c>
      <c r="F18" s="70">
        <f t="shared" ref="F18:F19" si="3">B18-E18</f>
        <v>24317.245330975693</v>
      </c>
    </row>
    <row r="19" spans="1:6" x14ac:dyDescent="0.25">
      <c r="A19">
        <v>3</v>
      </c>
      <c r="B19" s="70">
        <f>F18</f>
        <v>24317.245330975693</v>
      </c>
      <c r="C19" s="12">
        <f t="shared" si="0"/>
        <v>506.90985721034207</v>
      </c>
      <c r="D19" s="68">
        <f t="shared" si="1"/>
        <v>162.11496887317131</v>
      </c>
      <c r="E19" s="69">
        <f t="shared" si="2"/>
        <v>344.79488833717073</v>
      </c>
      <c r="F19" s="70">
        <f t="shared" si="3"/>
        <v>23972.450442638521</v>
      </c>
    </row>
    <row r="24" spans="1:6" x14ac:dyDescent="0.25">
      <c r="B24" s="12"/>
    </row>
    <row r="25" spans="1:6" x14ac:dyDescent="0.25">
      <c r="A25" t="s">
        <v>294</v>
      </c>
      <c r="B25" s="12"/>
    </row>
    <row r="26" spans="1:6" x14ac:dyDescent="0.25">
      <c r="A26" t="s">
        <v>128</v>
      </c>
      <c r="B26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0691-6713-4DA4-90E5-33915516A76D}">
  <sheetPr>
    <tabColor rgb="FF002060"/>
  </sheetPr>
  <dimension ref="A1:Q25"/>
  <sheetViews>
    <sheetView workbookViewId="0">
      <selection activeCell="F29" sqref="F29"/>
    </sheetView>
  </sheetViews>
  <sheetFormatPr defaultRowHeight="15" x14ac:dyDescent="0.25"/>
  <cols>
    <col min="1" max="1" width="22" customWidth="1"/>
    <col min="2" max="2" width="28.140625" customWidth="1"/>
    <col min="3" max="3" width="21.7109375" customWidth="1"/>
    <col min="4" max="4" width="29" customWidth="1"/>
    <col min="5" max="5" width="43.85546875" customWidth="1"/>
    <col min="6" max="6" width="46.85546875" bestFit="1" customWidth="1"/>
  </cols>
  <sheetData>
    <row r="1" spans="1:17" x14ac:dyDescent="0.25">
      <c r="A1" t="s">
        <v>141</v>
      </c>
      <c r="E1" s="263"/>
      <c r="F1" s="263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x14ac:dyDescent="0.25">
      <c r="A2" s="61" t="s">
        <v>62</v>
      </c>
    </row>
    <row r="3" spans="1:17" x14ac:dyDescent="0.25">
      <c r="A3" s="7" t="str">
        <f>"Consider that you are " &amp;TEXT(B11,"0") &amp; " years old and have just changed to a new job."</f>
        <v>Consider that you are 25 years old and have just changed to a new job.</v>
      </c>
      <c r="B3" s="7"/>
      <c r="C3" s="7"/>
      <c r="D3" s="7"/>
    </row>
    <row r="4" spans="1:17" x14ac:dyDescent="0.25">
      <c r="A4" s="7" t="str">
        <f>" You have "&amp;TEXT(B12,"$0,000")&amp; " in the retirement plan from your former employer. You can roll that money into the retirement plan of the new employer."</f>
        <v xml:space="preserve"> You have $50,000 in the retirement plan from your former employer. You can roll that money into the retirement plan of the new employer.</v>
      </c>
      <c r="B4" s="7"/>
      <c r="C4" s="7"/>
      <c r="D4" s="7"/>
    </row>
    <row r="5" spans="1:17" x14ac:dyDescent="0.25">
      <c r="A5" s="7" t="str">
        <f>"You will also contribute " &amp; TEXT(B13,"$0") &amp;" each month into your new employer's plan"</f>
        <v>You will also contribute $475 each month into your new employer's plan</v>
      </c>
      <c r="B5" s="7"/>
      <c r="C5" s="7"/>
      <c r="D5" s="7"/>
    </row>
    <row r="6" spans="1:17" x14ac:dyDescent="0.25">
      <c r="A6" s="7" t="str">
        <f>"If the rolled-over money and the  monthly contributions, both earn a return of "&amp;TEXT(B15,"0.00%")&amp;" compounded monthly"</f>
        <v>If the rolled-over money and the  monthly contributions, both earn a return of 7.00% compounded monthly</v>
      </c>
      <c r="B6" s="7"/>
      <c r="C6" s="7"/>
      <c r="D6" s="7"/>
    </row>
    <row r="8" spans="1:17" x14ac:dyDescent="0.25">
      <c r="A8" s="7" t="str">
        <f>"How much should you expect to have when you retire in "&amp; TEXT(65-B11,"0") &amp;" years?"</f>
        <v>How much should you expect to have when you retire in 40 years?</v>
      </c>
      <c r="B8" s="7"/>
      <c r="C8" s="7"/>
    </row>
    <row r="11" spans="1:17" x14ac:dyDescent="0.25">
      <c r="A11" t="s">
        <v>142</v>
      </c>
      <c r="B11">
        <v>25</v>
      </c>
    </row>
    <row r="12" spans="1:17" x14ac:dyDescent="0.25">
      <c r="A12" t="s">
        <v>77</v>
      </c>
      <c r="B12" s="127">
        <v>50000</v>
      </c>
      <c r="C12" s="127"/>
    </row>
    <row r="13" spans="1:17" x14ac:dyDescent="0.25">
      <c r="A13" t="s">
        <v>143</v>
      </c>
      <c r="B13" s="128">
        <v>475</v>
      </c>
      <c r="C13" s="128"/>
    </row>
    <row r="14" spans="1:17" x14ac:dyDescent="0.25">
      <c r="A14" t="s">
        <v>144</v>
      </c>
      <c r="B14">
        <f>65-B11</f>
        <v>40</v>
      </c>
    </row>
    <row r="15" spans="1:17" x14ac:dyDescent="0.25">
      <c r="A15" t="s">
        <v>145</v>
      </c>
      <c r="B15" s="2">
        <v>7.0000000000000007E-2</v>
      </c>
      <c r="C15" s="2"/>
    </row>
    <row r="16" spans="1:17" x14ac:dyDescent="0.25">
      <c r="A16" t="s">
        <v>78</v>
      </c>
      <c r="B16">
        <v>12</v>
      </c>
    </row>
    <row r="17" spans="1:3" x14ac:dyDescent="0.25">
      <c r="A17" t="s">
        <v>146</v>
      </c>
      <c r="B17">
        <f>B14*B16</f>
        <v>480</v>
      </c>
    </row>
    <row r="18" spans="1:3" x14ac:dyDescent="0.25">
      <c r="A18" t="s">
        <v>147</v>
      </c>
      <c r="B18" s="11">
        <f>B15/B16</f>
        <v>5.8333333333333336E-3</v>
      </c>
      <c r="C18" s="11"/>
    </row>
    <row r="20" spans="1:3" x14ac:dyDescent="0.25">
      <c r="A20" t="s">
        <v>148</v>
      </c>
      <c r="B20" s="12">
        <f>FV(B18,B17,-B13,-B12)</f>
        <v>2062356.9387222403</v>
      </c>
      <c r="C20" s="12" t="str">
        <f ca="1">_xlfn.FORMULATEXT(B20)</f>
        <v>=FV(B18,B17,-B13,-B12)</v>
      </c>
    </row>
    <row r="21" spans="1:3" x14ac:dyDescent="0.25">
      <c r="B21" s="129" t="s">
        <v>149</v>
      </c>
      <c r="C21" s="12"/>
    </row>
    <row r="22" spans="1:3" x14ac:dyDescent="0.25">
      <c r="A22" t="s">
        <v>150</v>
      </c>
      <c r="B22" s="130">
        <f>FV(B18,B17,0,-B12)</f>
        <v>815570.57451389579</v>
      </c>
      <c r="C22" s="12" t="str">
        <f t="shared" ref="C22:C23" ca="1" si="0">_xlfn.FORMULATEXT(B22)</f>
        <v>=FV(B18,B17,0,-B12)</v>
      </c>
    </row>
    <row r="23" spans="1:3" x14ac:dyDescent="0.25">
      <c r="A23" t="s">
        <v>151</v>
      </c>
      <c r="B23" s="130">
        <f>FV(B18,B17,-B13,0)</f>
        <v>1246786.3642083446</v>
      </c>
      <c r="C23" s="12" t="str">
        <f t="shared" ca="1" si="0"/>
        <v>=FV(B18,B17,-B13,0)</v>
      </c>
    </row>
    <row r="24" spans="1:3" x14ac:dyDescent="0.25">
      <c r="A24" t="s">
        <v>152</v>
      </c>
      <c r="B24" s="130">
        <f>SUM(B22:B23)</f>
        <v>2062356.9387222403</v>
      </c>
      <c r="C24" s="12" t="str">
        <f ca="1">_xlfn.FORMULATEXT(B24)</f>
        <v>=SUM(B22:B23)</v>
      </c>
    </row>
    <row r="25" spans="1:3" x14ac:dyDescent="0.25">
      <c r="B25" s="64"/>
    </row>
  </sheetData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60D4-7791-42C3-B303-4139ACDE237C}">
  <sheetPr>
    <tabColor rgb="FF002060"/>
  </sheetPr>
  <dimension ref="A1:B11"/>
  <sheetViews>
    <sheetView workbookViewId="0">
      <selection activeCell="F25" sqref="F25"/>
    </sheetView>
  </sheetViews>
  <sheetFormatPr defaultRowHeight="15" x14ac:dyDescent="0.25"/>
  <cols>
    <col min="1" max="1" width="20.5703125" customWidth="1"/>
  </cols>
  <sheetData>
    <row r="1" spans="1:2" x14ac:dyDescent="0.25">
      <c r="A1" t="s">
        <v>268</v>
      </c>
    </row>
    <row r="2" spans="1:2" x14ac:dyDescent="0.25">
      <c r="A2" s="61" t="s">
        <v>62</v>
      </c>
      <c r="B2" t="s">
        <v>269</v>
      </c>
    </row>
    <row r="5" spans="1:2" x14ac:dyDescent="0.25">
      <c r="A5" t="s">
        <v>266</v>
      </c>
      <c r="B5" s="125">
        <v>5000</v>
      </c>
    </row>
    <row r="6" spans="1:2" x14ac:dyDescent="0.25">
      <c r="A6" t="s">
        <v>104</v>
      </c>
      <c r="B6" s="125">
        <v>10000</v>
      </c>
    </row>
    <row r="7" spans="1:2" x14ac:dyDescent="0.25">
      <c r="A7" t="s">
        <v>157</v>
      </c>
      <c r="B7" s="87">
        <v>0.09</v>
      </c>
    </row>
    <row r="9" spans="1:2" x14ac:dyDescent="0.25">
      <c r="A9" t="s">
        <v>267</v>
      </c>
      <c r="B9" s="222">
        <f xml:space="preserve"> NPER(B7,0,B5,-B6)</f>
        <v>8.0432317269320457</v>
      </c>
    </row>
    <row r="11" spans="1:2" x14ac:dyDescent="0.25">
      <c r="A11" t="s">
        <v>270</v>
      </c>
      <c r="B11">
        <f>72/9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36B0-882A-4F08-AA74-089E98D33B58}">
  <sheetPr>
    <tabColor rgb="FF002060"/>
  </sheetPr>
  <dimension ref="A3:C9"/>
  <sheetViews>
    <sheetView workbookViewId="0">
      <selection activeCell="C10" sqref="C10"/>
    </sheetView>
  </sheetViews>
  <sheetFormatPr defaultRowHeight="15" x14ac:dyDescent="0.25"/>
  <cols>
    <col min="2" max="2" width="12.140625" bestFit="1" customWidth="1"/>
  </cols>
  <sheetData>
    <row r="3" spans="1:3" x14ac:dyDescent="0.25">
      <c r="A3" t="s">
        <v>283</v>
      </c>
      <c r="B3" s="256">
        <v>2000</v>
      </c>
    </row>
    <row r="4" spans="1:3" x14ac:dyDescent="0.25">
      <c r="A4" t="s">
        <v>284</v>
      </c>
      <c r="B4" s="256">
        <v>150000</v>
      </c>
    </row>
    <row r="5" spans="1:3" x14ac:dyDescent="0.25">
      <c r="A5" t="s">
        <v>286</v>
      </c>
      <c r="B5">
        <v>6</v>
      </c>
    </row>
    <row r="6" spans="1:3" x14ac:dyDescent="0.25">
      <c r="A6" t="s">
        <v>78</v>
      </c>
      <c r="B6">
        <v>12</v>
      </c>
    </row>
    <row r="7" spans="1:3" x14ac:dyDescent="0.25">
      <c r="A7" t="s">
        <v>285</v>
      </c>
      <c r="B7">
        <f>B5*B6</f>
        <v>72</v>
      </c>
    </row>
    <row r="9" spans="1:3" x14ac:dyDescent="0.25">
      <c r="A9" t="s">
        <v>157</v>
      </c>
      <c r="B9" s="255">
        <f>RATE(B7,-B3,0,B4)*12</f>
        <v>1.3711616116975691E-2</v>
      </c>
      <c r="C9" t="str">
        <f ca="1">_xlfn.FORMULATEXT(B9)</f>
        <v>=RATE(B7,-B3,0,B4)*12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A3AB-9541-4FF2-881B-2665CC30029D}">
  <sheetPr>
    <tabColor rgb="FF002060"/>
  </sheetPr>
  <dimension ref="A3:E10"/>
  <sheetViews>
    <sheetView workbookViewId="0">
      <selection activeCell="E11" sqref="E11"/>
    </sheetView>
  </sheetViews>
  <sheetFormatPr defaultRowHeight="15" x14ac:dyDescent="0.25"/>
  <cols>
    <col min="2" max="2" width="16" bestFit="1" customWidth="1"/>
    <col min="3" max="3" width="24.5703125" customWidth="1"/>
  </cols>
  <sheetData>
    <row r="3" spans="1:5" ht="21" x14ac:dyDescent="0.35">
      <c r="A3" s="259" t="s">
        <v>287</v>
      </c>
      <c r="B3" s="260"/>
      <c r="C3" s="260"/>
      <c r="D3" s="260"/>
      <c r="E3" s="260"/>
    </row>
    <row r="6" spans="1:5" x14ac:dyDescent="0.25">
      <c r="A6" t="s">
        <v>77</v>
      </c>
      <c r="B6" s="257">
        <v>5000</v>
      </c>
    </row>
    <row r="7" spans="1:5" x14ac:dyDescent="0.25">
      <c r="A7" t="s">
        <v>284</v>
      </c>
      <c r="B7" s="257">
        <v>10000</v>
      </c>
    </row>
    <row r="8" spans="1:5" x14ac:dyDescent="0.25">
      <c r="A8" t="s">
        <v>157</v>
      </c>
      <c r="B8" s="1">
        <v>0.09</v>
      </c>
    </row>
    <row r="10" spans="1:5" x14ac:dyDescent="0.25">
      <c r="A10" t="s">
        <v>288</v>
      </c>
      <c r="B10" s="258">
        <f>NPER(B8,0,B6,-B7)</f>
        <v>8.0432317269320457</v>
      </c>
      <c r="C10" t="str">
        <f ca="1">+_xlfn.FORMULATEXT(B10)</f>
        <v>=NPER(B8,0,B6,-B7)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CA0F-5743-42E2-B4C6-F9CA6D42F1F7}">
  <sheetPr>
    <tabColor rgb="FF002060"/>
  </sheetPr>
  <dimension ref="A1:C22"/>
  <sheetViews>
    <sheetView workbookViewId="0">
      <selection activeCell="E36" sqref="E36"/>
    </sheetView>
  </sheetViews>
  <sheetFormatPr defaultRowHeight="15" x14ac:dyDescent="0.25"/>
  <cols>
    <col min="1" max="1" width="17.42578125" customWidth="1"/>
    <col min="2" max="2" width="23.42578125" customWidth="1"/>
    <col min="3" max="3" width="17.28515625" customWidth="1"/>
    <col min="11" max="11" width="16.85546875" customWidth="1"/>
  </cols>
  <sheetData>
    <row r="1" spans="1:3" x14ac:dyDescent="0.25">
      <c r="A1" s="61" t="s">
        <v>62</v>
      </c>
    </row>
    <row r="2" spans="1:3" ht="18" x14ac:dyDescent="0.25">
      <c r="A2" s="131" t="str">
        <f>"Calculate the dollar bond value of a zero-coupon bond that matures in "&amp;TEXT(B11,"")&amp; " years if the market interest rate is " &amp;TEXT(B10,"0.00%")</f>
        <v>Calculate the dollar bond value of a zero-coupon bond that matures in  years if the market interest rate is 7.50%</v>
      </c>
    </row>
    <row r="3" spans="1:3" ht="18" x14ac:dyDescent="0.25">
      <c r="A3" s="131" t="s">
        <v>153</v>
      </c>
    </row>
    <row r="4" spans="1:3" ht="18" x14ac:dyDescent="0.25">
      <c r="A4" s="131"/>
    </row>
    <row r="5" spans="1:3" x14ac:dyDescent="0.25">
      <c r="A5" s="7" t="s">
        <v>154</v>
      </c>
      <c r="B5" s="7"/>
      <c r="C5" s="12">
        <f>B13</f>
        <v>692.0204780620071</v>
      </c>
    </row>
    <row r="6" spans="1:3" x14ac:dyDescent="0.25">
      <c r="A6" s="7" t="s">
        <v>155</v>
      </c>
      <c r="B6" s="7"/>
      <c r="C6" s="2">
        <f>B14</f>
        <v>0.69202047806200706</v>
      </c>
    </row>
    <row r="8" spans="1:3" x14ac:dyDescent="0.25">
      <c r="A8" t="s">
        <v>156</v>
      </c>
      <c r="B8" s="10">
        <v>1000</v>
      </c>
    </row>
    <row r="9" spans="1:3" x14ac:dyDescent="0.25">
      <c r="A9" t="s">
        <v>101</v>
      </c>
      <c r="B9" s="2">
        <v>0</v>
      </c>
    </row>
    <row r="10" spans="1:3" x14ac:dyDescent="0.25">
      <c r="A10" t="s">
        <v>157</v>
      </c>
      <c r="B10" s="2">
        <v>7.4999999999999997E-2</v>
      </c>
    </row>
    <row r="11" spans="1:3" x14ac:dyDescent="0.25">
      <c r="A11" t="s">
        <v>13</v>
      </c>
      <c r="B11">
        <v>5</v>
      </c>
    </row>
    <row r="12" spans="1:3" x14ac:dyDescent="0.25">
      <c r="A12" t="s">
        <v>78</v>
      </c>
      <c r="B12">
        <v>2</v>
      </c>
    </row>
    <row r="13" spans="1:3" x14ac:dyDescent="0.25">
      <c r="A13" t="s">
        <v>77</v>
      </c>
      <c r="B13" s="12">
        <f>PV(B10/2,B11*2,0,-1000)</f>
        <v>692.0204780620071</v>
      </c>
    </row>
    <row r="14" spans="1:3" x14ac:dyDescent="0.25">
      <c r="A14" t="s">
        <v>35</v>
      </c>
      <c r="B14" s="11">
        <f>B13/B8</f>
        <v>0.69202047806200706</v>
      </c>
    </row>
    <row r="21" spans="1:1" ht="18" x14ac:dyDescent="0.25">
      <c r="A21" s="131"/>
    </row>
    <row r="22" spans="1:1" ht="18" x14ac:dyDescent="0.25">
      <c r="A22" s="1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BD87-0AD1-4998-BE23-A0727F7D82C9}">
  <sheetPr>
    <tabColor rgb="FF002060"/>
  </sheetPr>
  <dimension ref="A1:I47"/>
  <sheetViews>
    <sheetView workbookViewId="0">
      <selection activeCell="A20" sqref="A20"/>
    </sheetView>
  </sheetViews>
  <sheetFormatPr defaultRowHeight="15" x14ac:dyDescent="0.25"/>
  <cols>
    <col min="1" max="1" width="54.7109375" customWidth="1"/>
    <col min="2" max="2" width="26.42578125" customWidth="1"/>
    <col min="3" max="3" width="12.42578125" customWidth="1"/>
    <col min="4" max="4" width="14.28515625" customWidth="1"/>
    <col min="5" max="5" width="19.140625" customWidth="1"/>
    <col min="6" max="6" width="9.85546875" bestFit="1" customWidth="1"/>
    <col min="9" max="9" width="40.85546875" customWidth="1"/>
  </cols>
  <sheetData>
    <row r="1" spans="1:9" ht="16.5" thickBot="1" x14ac:dyDescent="0.3">
      <c r="A1" s="132"/>
      <c r="B1" s="119" t="s">
        <v>99</v>
      </c>
      <c r="C1" s="119"/>
      <c r="D1" s="119" t="s">
        <v>100</v>
      </c>
      <c r="I1" t="s">
        <v>293</v>
      </c>
    </row>
    <row r="2" spans="1:9" ht="16.5" thickTop="1" x14ac:dyDescent="0.25">
      <c r="A2" s="133" t="s">
        <v>13</v>
      </c>
      <c r="B2" s="7">
        <v>15</v>
      </c>
      <c r="C2" s="7"/>
      <c r="D2" s="7">
        <f>B2-0.5</f>
        <v>14.5</v>
      </c>
      <c r="I2" t="s">
        <v>290</v>
      </c>
    </row>
    <row r="3" spans="1:9" ht="15.75" x14ac:dyDescent="0.25">
      <c r="A3" s="133" t="s">
        <v>101</v>
      </c>
      <c r="B3" s="11">
        <v>0.06</v>
      </c>
      <c r="D3" s="11">
        <f>B3</f>
        <v>0.06</v>
      </c>
    </row>
    <row r="4" spans="1:9" x14ac:dyDescent="0.25">
      <c r="A4" t="s">
        <v>158</v>
      </c>
      <c r="B4">
        <v>2</v>
      </c>
      <c r="D4">
        <v>2</v>
      </c>
      <c r="I4" t="s">
        <v>291</v>
      </c>
    </row>
    <row r="5" spans="1:9" x14ac:dyDescent="0.25">
      <c r="A5" t="s">
        <v>146</v>
      </c>
      <c r="B5">
        <f>B2*B4</f>
        <v>30</v>
      </c>
      <c r="D5">
        <f>D2*D4</f>
        <v>29</v>
      </c>
    </row>
    <row r="6" spans="1:9" x14ac:dyDescent="0.25">
      <c r="A6" t="s">
        <v>159</v>
      </c>
      <c r="B6" s="11">
        <f>B3/B4</f>
        <v>0.03</v>
      </c>
      <c r="D6" s="11">
        <f>D3/D4</f>
        <v>0.03</v>
      </c>
      <c r="I6" t="s">
        <v>292</v>
      </c>
    </row>
    <row r="7" spans="1:9" x14ac:dyDescent="0.25">
      <c r="A7" t="s">
        <v>160</v>
      </c>
      <c r="B7" s="12">
        <f>(B3*B9)/B4</f>
        <v>30</v>
      </c>
      <c r="D7" s="12">
        <f>(D3*D9)/D4</f>
        <v>30</v>
      </c>
      <c r="I7" t="s">
        <v>169</v>
      </c>
    </row>
    <row r="9" spans="1:9" x14ac:dyDescent="0.25">
      <c r="A9" t="s">
        <v>161</v>
      </c>
      <c r="B9" s="10">
        <v>1000</v>
      </c>
      <c r="D9" s="10">
        <v>1000</v>
      </c>
      <c r="I9" t="s">
        <v>170</v>
      </c>
    </row>
    <row r="10" spans="1:9" x14ac:dyDescent="0.25">
      <c r="A10" t="s">
        <v>77</v>
      </c>
      <c r="B10" s="83">
        <v>1000</v>
      </c>
      <c r="D10" s="134">
        <f>PV(D13,D5,-D7,-D9)</f>
        <v>1102.267749537901</v>
      </c>
      <c r="I10" t="s">
        <v>171</v>
      </c>
    </row>
    <row r="11" spans="1:9" x14ac:dyDescent="0.25">
      <c r="A11" t="s">
        <v>35</v>
      </c>
      <c r="B11" s="86">
        <f>B10/B9</f>
        <v>1</v>
      </c>
      <c r="D11" s="66">
        <f>D10/D9</f>
        <v>1.102267749537901</v>
      </c>
      <c r="I11" t="s">
        <v>172</v>
      </c>
    </row>
    <row r="12" spans="1:9" x14ac:dyDescent="0.25">
      <c r="I12" t="s">
        <v>173</v>
      </c>
    </row>
    <row r="13" spans="1:9" x14ac:dyDescent="0.25">
      <c r="A13" t="s">
        <v>162</v>
      </c>
      <c r="B13" s="2">
        <f>RATE(B5,-B6*B9,B10,-B9)</f>
        <v>3.000000000000078E-2</v>
      </c>
      <c r="D13" s="2">
        <f>D14/2</f>
        <v>2.5000000000000001E-2</v>
      </c>
    </row>
    <row r="14" spans="1:9" x14ac:dyDescent="0.25">
      <c r="A14" s="135" t="s">
        <v>163</v>
      </c>
      <c r="B14" s="136">
        <f>B13*B4</f>
        <v>6.0000000000001559E-2</v>
      </c>
      <c r="D14" s="137">
        <v>0.05</v>
      </c>
    </row>
    <row r="15" spans="1:9" ht="15.75" x14ac:dyDescent="0.25">
      <c r="A15" s="132"/>
    </row>
    <row r="16" spans="1:9" ht="15.75" x14ac:dyDescent="0.25">
      <c r="B16" s="132" t="s">
        <v>164</v>
      </c>
      <c r="C16" s="12">
        <f>D10-B10</f>
        <v>102.26774953790095</v>
      </c>
    </row>
    <row r="17" spans="1:4" ht="15.75" x14ac:dyDescent="0.25">
      <c r="B17" s="138" t="s">
        <v>165</v>
      </c>
      <c r="C17" s="12">
        <f>D7</f>
        <v>30</v>
      </c>
    </row>
    <row r="18" spans="1:4" ht="15.75" x14ac:dyDescent="0.25">
      <c r="B18" s="138" t="s">
        <v>166</v>
      </c>
      <c r="C18" s="12">
        <f>C16+C17</f>
        <v>132.26774953790095</v>
      </c>
    </row>
    <row r="19" spans="1:4" ht="15.75" x14ac:dyDescent="0.25">
      <c r="B19" s="138" t="s">
        <v>167</v>
      </c>
      <c r="C19" s="11">
        <f>C18/B10</f>
        <v>0.13226774953790096</v>
      </c>
    </row>
    <row r="20" spans="1:4" ht="15.75" x14ac:dyDescent="0.25">
      <c r="A20" s="138"/>
    </row>
    <row r="21" spans="1:4" ht="15.75" x14ac:dyDescent="0.25">
      <c r="A21" s="138"/>
    </row>
    <row r="22" spans="1:4" x14ac:dyDescent="0.25">
      <c r="A22" s="61" t="s">
        <v>62</v>
      </c>
    </row>
    <row r="23" spans="1:4" ht="15.75" x14ac:dyDescent="0.25">
      <c r="A23" s="139" t="str">
        <f>"A " &amp; TEXT($B$2,"0")&amp;" year bond with semi-annual coupons payments, with a "&amp; TEXT($B$3,"0.00%") &amp; " coupon rate is valued at a bond $$ value "&amp; TEXT($B$10,"$0,000")</f>
        <v>A 15 year bond with semi-annual coupons payments, with a 6.00% coupon rate is valued at a bond $$ value $1,000</v>
      </c>
      <c r="B23" s="7"/>
      <c r="C23" s="7"/>
      <c r="D23" s="7"/>
    </row>
    <row r="24" spans="1:4" ht="15.75" x14ac:dyDescent="0.25">
      <c r="A24" s="140" t="str">
        <f>"and a quoted bond prices of " &amp; TEXT(B11,"0.00%")</f>
        <v>and a quoted bond prices of 100.00%</v>
      </c>
    </row>
    <row r="25" spans="1:4" ht="15.75" x14ac:dyDescent="0.25">
      <c r="A25" s="140"/>
    </row>
    <row r="26" spans="1:4" ht="15.75" x14ac:dyDescent="0.25">
      <c r="A26" s="138" t="s">
        <v>168</v>
      </c>
      <c r="B26" s="2">
        <f>B14</f>
        <v>6.0000000000001559E-2</v>
      </c>
    </row>
    <row r="27" spans="1:4" x14ac:dyDescent="0.25">
      <c r="B27" s="2"/>
    </row>
    <row r="28" spans="1:4" ht="15.75" x14ac:dyDescent="0.25">
      <c r="A28" s="141" t="str">
        <f>"After receiving the first coupon payment, you sell the bond at a yield of  " &amp; TEXT(D14,"0.00%") &amp;"."</f>
        <v>After receiving the first coupon payment, you sell the bond at a yield of  5.00%.</v>
      </c>
    </row>
    <row r="29" spans="1:4" ht="15.75" x14ac:dyDescent="0.25">
      <c r="A29" s="132" t="s">
        <v>169</v>
      </c>
      <c r="B29" s="12">
        <f>D10</f>
        <v>1102.267749537901</v>
      </c>
    </row>
    <row r="30" spans="1:4" x14ac:dyDescent="0.25">
      <c r="B30" s="12"/>
    </row>
    <row r="31" spans="1:4" ht="15.75" x14ac:dyDescent="0.25">
      <c r="A31" s="132" t="s">
        <v>170</v>
      </c>
      <c r="B31" s="12">
        <f>C16</f>
        <v>102.26774953790095</v>
      </c>
    </row>
    <row r="32" spans="1:4" ht="15.75" x14ac:dyDescent="0.25">
      <c r="A32" s="132" t="s">
        <v>171</v>
      </c>
      <c r="B32" s="12">
        <f>C17</f>
        <v>30</v>
      </c>
    </row>
    <row r="33" spans="1:2" ht="15.75" x14ac:dyDescent="0.25">
      <c r="A33" s="132" t="s">
        <v>172</v>
      </c>
      <c r="B33" s="12">
        <f>C18</f>
        <v>132.26774953790095</v>
      </c>
    </row>
    <row r="34" spans="1:2" ht="15.75" x14ac:dyDescent="0.25">
      <c r="A34" s="132" t="s">
        <v>173</v>
      </c>
      <c r="B34" s="2">
        <f>C19</f>
        <v>0.13226774953790096</v>
      </c>
    </row>
    <row r="35" spans="1:2" ht="15.75" x14ac:dyDescent="0.25">
      <c r="A35" s="132"/>
    </row>
    <row r="36" spans="1:2" ht="15.75" x14ac:dyDescent="0.25">
      <c r="A36" s="132"/>
    </row>
    <row r="37" spans="1:2" ht="15.75" x14ac:dyDescent="0.25">
      <c r="A37" s="138"/>
    </row>
    <row r="38" spans="1:2" ht="15.75" x14ac:dyDescent="0.25">
      <c r="A38" s="138"/>
    </row>
    <row r="39" spans="1:2" ht="15.75" x14ac:dyDescent="0.25">
      <c r="A39" s="138"/>
    </row>
    <row r="40" spans="1:2" ht="15.75" x14ac:dyDescent="0.25">
      <c r="A40" s="138"/>
    </row>
    <row r="41" spans="1:2" x14ac:dyDescent="0.25">
      <c r="A41" s="142"/>
    </row>
    <row r="42" spans="1:2" ht="15.75" x14ac:dyDescent="0.25">
      <c r="A42" s="138"/>
    </row>
    <row r="43" spans="1:2" ht="15.75" x14ac:dyDescent="0.25">
      <c r="A43" s="143"/>
    </row>
    <row r="44" spans="1:2" ht="15.75" x14ac:dyDescent="0.25">
      <c r="A44" s="132"/>
    </row>
    <row r="45" spans="1:2" ht="15.75" x14ac:dyDescent="0.25">
      <c r="A45" s="132"/>
    </row>
    <row r="46" spans="1:2" ht="15.75" x14ac:dyDescent="0.25">
      <c r="A46" s="138"/>
    </row>
    <row r="47" spans="1:2" ht="15.75" x14ac:dyDescent="0.25">
      <c r="A47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CDF-AEB1-4B38-A1E0-2C0745BFEA03}">
  <sheetPr>
    <tabColor rgb="FF002060"/>
  </sheetPr>
  <dimension ref="A1:H32"/>
  <sheetViews>
    <sheetView workbookViewId="0">
      <selection activeCell="G24" sqref="G24"/>
    </sheetView>
  </sheetViews>
  <sheetFormatPr defaultRowHeight="15" x14ac:dyDescent="0.25"/>
  <cols>
    <col min="1" max="1" width="36.42578125" customWidth="1"/>
    <col min="2" max="2" width="21.140625" bestFit="1" customWidth="1"/>
    <col min="4" max="4" width="13.42578125" customWidth="1"/>
    <col min="7" max="7" width="13.28515625" customWidth="1"/>
  </cols>
  <sheetData>
    <row r="1" spans="1:8" ht="18" x14ac:dyDescent="0.25">
      <c r="A1" s="265" t="s">
        <v>174</v>
      </c>
      <c r="B1" s="265"/>
      <c r="C1" s="265"/>
      <c r="D1" s="265"/>
      <c r="E1" s="265"/>
      <c r="F1" s="265"/>
      <c r="G1" s="265"/>
      <c r="H1" s="265"/>
    </row>
    <row r="2" spans="1:8" ht="76.5" customHeight="1" x14ac:dyDescent="0.25">
      <c r="A2" s="264" t="s">
        <v>175</v>
      </c>
      <c r="B2" s="264"/>
      <c r="C2" s="264"/>
      <c r="D2" s="264"/>
      <c r="E2" s="264"/>
      <c r="F2" s="264"/>
      <c r="G2" s="264"/>
    </row>
    <row r="3" spans="1:8" x14ac:dyDescent="0.25">
      <c r="A3" s="264" t="s">
        <v>176</v>
      </c>
      <c r="B3" s="264"/>
      <c r="C3" s="264"/>
      <c r="D3" s="264"/>
      <c r="E3" s="264"/>
      <c r="F3" s="264"/>
      <c r="G3" s="264"/>
    </row>
    <row r="4" spans="1:8" x14ac:dyDescent="0.25">
      <c r="A4" s="264" t="s">
        <v>177</v>
      </c>
      <c r="B4" s="264"/>
      <c r="C4" s="264"/>
      <c r="D4" s="264"/>
      <c r="E4" s="264"/>
      <c r="F4" s="264"/>
      <c r="G4" s="264"/>
    </row>
    <row r="5" spans="1:8" x14ac:dyDescent="0.25">
      <c r="A5" s="264" t="s">
        <v>178</v>
      </c>
      <c r="B5" s="264"/>
      <c r="C5" s="264"/>
      <c r="D5" s="264"/>
      <c r="E5" s="264"/>
      <c r="F5" s="264"/>
      <c r="G5" s="264"/>
    </row>
    <row r="6" spans="1:8" x14ac:dyDescent="0.25">
      <c r="A6" s="264" t="s">
        <v>179</v>
      </c>
      <c r="B6" s="264"/>
      <c r="C6" s="264"/>
      <c r="D6" s="264"/>
      <c r="E6" s="264"/>
      <c r="F6" s="264"/>
      <c r="G6" s="264"/>
    </row>
    <row r="7" spans="1:8" x14ac:dyDescent="0.25">
      <c r="A7" s="144"/>
      <c r="B7" s="144"/>
      <c r="C7" s="144"/>
      <c r="D7" s="144"/>
      <c r="E7" s="144"/>
      <c r="F7" s="144"/>
      <c r="G7" s="144"/>
    </row>
    <row r="8" spans="1:8" x14ac:dyDescent="0.25">
      <c r="A8" s="13" t="s">
        <v>180</v>
      </c>
      <c r="B8" s="145">
        <v>0.98450000000000004</v>
      </c>
    </row>
    <row r="9" spans="1:8" x14ac:dyDescent="0.25">
      <c r="A9" s="146" t="s">
        <v>181</v>
      </c>
      <c r="B9" s="147">
        <v>0.36</v>
      </c>
    </row>
    <row r="10" spans="1:8" x14ac:dyDescent="0.25">
      <c r="A10" s="148" t="s">
        <v>102</v>
      </c>
      <c r="B10" s="149">
        <v>1000</v>
      </c>
    </row>
    <row r="11" spans="1:8" x14ac:dyDescent="0.25">
      <c r="A11" s="148" t="s">
        <v>182</v>
      </c>
      <c r="B11" s="150">
        <v>15</v>
      </c>
    </row>
    <row r="12" spans="1:8" x14ac:dyDescent="0.25">
      <c r="A12" s="151" t="s">
        <v>183</v>
      </c>
      <c r="B12" s="152">
        <v>5</v>
      </c>
    </row>
    <row r="13" spans="1:8" x14ac:dyDescent="0.25">
      <c r="A13" s="148" t="s">
        <v>101</v>
      </c>
      <c r="B13" s="153">
        <v>4.4999999999999998E-2</v>
      </c>
    </row>
    <row r="14" spans="1:8" x14ac:dyDescent="0.25">
      <c r="A14" s="154" t="s">
        <v>184</v>
      </c>
      <c r="B14" s="155">
        <f>B13*B10</f>
        <v>45</v>
      </c>
    </row>
    <row r="16" spans="1:8" x14ac:dyDescent="0.25">
      <c r="A16" s="5" t="s">
        <v>185</v>
      </c>
      <c r="B16" s="5">
        <f>B11*2</f>
        <v>30</v>
      </c>
    </row>
    <row r="17" spans="1:2" x14ac:dyDescent="0.25">
      <c r="A17" s="5" t="s">
        <v>186</v>
      </c>
      <c r="B17" s="5">
        <f>B12*2</f>
        <v>10</v>
      </c>
    </row>
    <row r="18" spans="1:2" x14ac:dyDescent="0.25">
      <c r="A18" s="5" t="s">
        <v>187</v>
      </c>
      <c r="B18" s="156">
        <f>B14/2</f>
        <v>22.5</v>
      </c>
    </row>
    <row r="20" spans="1:2" x14ac:dyDescent="0.25">
      <c r="A20" t="s">
        <v>188</v>
      </c>
      <c r="B20" s="12">
        <f>B8*B10</f>
        <v>984.5</v>
      </c>
    </row>
    <row r="21" spans="1:2" x14ac:dyDescent="0.25">
      <c r="A21" t="s">
        <v>189</v>
      </c>
      <c r="B21" s="12">
        <f>B14</f>
        <v>45</v>
      </c>
    </row>
    <row r="22" spans="1:2" x14ac:dyDescent="0.25">
      <c r="A22" t="s">
        <v>190</v>
      </c>
      <c r="B22" s="12">
        <f>B21+B10</f>
        <v>1045</v>
      </c>
    </row>
    <row r="24" spans="1:2" x14ac:dyDescent="0.25">
      <c r="A24" s="84" t="s">
        <v>191</v>
      </c>
      <c r="B24" s="157">
        <f>B14/B20</f>
        <v>4.5708481462671403E-2</v>
      </c>
    </row>
    <row r="26" spans="1:2" x14ac:dyDescent="0.25">
      <c r="A26" s="5" t="s">
        <v>103</v>
      </c>
      <c r="B26" s="158">
        <f>RATE(B16,-B18,B20,-B10)</f>
        <v>2.3223120114168081E-2</v>
      </c>
    </row>
    <row r="27" spans="1:2" x14ac:dyDescent="0.25">
      <c r="A27" s="13" t="s">
        <v>192</v>
      </c>
      <c r="B27" s="66">
        <f>B26*2</f>
        <v>4.6446240228336162E-2</v>
      </c>
    </row>
    <row r="29" spans="1:2" x14ac:dyDescent="0.25">
      <c r="A29" s="5" t="s">
        <v>193</v>
      </c>
      <c r="B29" s="158">
        <f>RATE(B17,-B18,B20,-B22)</f>
        <v>2.8257927444819992E-2</v>
      </c>
    </row>
    <row r="30" spans="1:2" x14ac:dyDescent="0.25">
      <c r="A30" s="13" t="s">
        <v>194</v>
      </c>
      <c r="B30" s="66">
        <f>B29*2</f>
        <v>5.6515854889639984E-2</v>
      </c>
    </row>
    <row r="32" spans="1:2" x14ac:dyDescent="0.25">
      <c r="A32" s="84" t="s">
        <v>195</v>
      </c>
      <c r="B32" s="159">
        <f>B27/(1-B9)</f>
        <v>7.2572250356775253E-2</v>
      </c>
    </row>
  </sheetData>
  <mergeCells count="6">
    <mergeCell ref="A6:G6"/>
    <mergeCell ref="A1:H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9133-00E1-449E-9ADA-4CB5979256BB}">
  <sheetPr>
    <tabColor theme="8" tint="-0.499984740745262"/>
  </sheetPr>
  <dimension ref="A1:AD13"/>
  <sheetViews>
    <sheetView workbookViewId="0">
      <selection activeCell="E17" sqref="E17"/>
    </sheetView>
  </sheetViews>
  <sheetFormatPr defaultColWidth="10.42578125" defaultRowHeight="15" x14ac:dyDescent="0.25"/>
  <cols>
    <col min="10" max="10" width="8.5703125" customWidth="1"/>
    <col min="13" max="13" width="16" customWidth="1"/>
  </cols>
  <sheetData>
    <row r="1" spans="1:30" x14ac:dyDescent="0.25">
      <c r="A1" s="90"/>
      <c r="B1" s="91"/>
      <c r="C1" s="91"/>
      <c r="D1" s="91"/>
      <c r="E1" s="91"/>
      <c r="F1" s="91"/>
      <c r="G1" s="91"/>
      <c r="H1" s="91"/>
      <c r="I1" s="91"/>
      <c r="J1" s="92"/>
      <c r="L1" t="s">
        <v>105</v>
      </c>
      <c r="M1" s="85"/>
      <c r="Q1" t="s">
        <v>133</v>
      </c>
      <c r="R1" t="s">
        <v>106</v>
      </c>
      <c r="S1" s="121" t="s">
        <v>107</v>
      </c>
      <c r="X1" t="s">
        <v>108</v>
      </c>
      <c r="Y1" s="12">
        <v>2.8</v>
      </c>
      <c r="AA1" t="s">
        <v>109</v>
      </c>
      <c r="AB1">
        <v>0</v>
      </c>
      <c r="AC1" s="12">
        <v>1.8</v>
      </c>
    </row>
    <row r="2" spans="1:30" ht="15.75" thickBot="1" x14ac:dyDescent="0.3">
      <c r="A2" s="93" t="str">
        <f>"Suppose that a firm’s recent earnings per share and dividend per share are "&amp;TEXT(N2,"$0.00")&amp;" and "&amp;(TEXT(N3,"$0.00")&amp;", respectively")</f>
        <v>Suppose that a firm’s recent earnings per share and dividend per share are $2.00 and $1.00, respectively</v>
      </c>
      <c r="J2" s="94"/>
      <c r="M2" s="13" t="s">
        <v>108</v>
      </c>
      <c r="N2" s="83">
        <v>2</v>
      </c>
      <c r="P2" s="18" t="s">
        <v>109</v>
      </c>
      <c r="Q2" s="18">
        <v>0</v>
      </c>
      <c r="R2" s="88">
        <f>N3</f>
        <v>1</v>
      </c>
      <c r="S2" s="122"/>
      <c r="X2" t="s">
        <v>109</v>
      </c>
      <c r="Y2" s="12">
        <v>1.8</v>
      </c>
      <c r="AA2" t="s">
        <v>109</v>
      </c>
      <c r="AB2">
        <v>1</v>
      </c>
      <c r="AC2" s="12">
        <f>AC1*(1+$N$4)</f>
        <v>2.0699999999999998</v>
      </c>
      <c r="AD2" s="12">
        <f t="shared" ref="AD2:AD7" si="0">AC2/(1+$N$7)^AB2</f>
        <v>1.8</v>
      </c>
    </row>
    <row r="3" spans="1:30" ht="15.75" thickTop="1" x14ac:dyDescent="0.25">
      <c r="A3" s="93" t="str">
        <f>"The growth rate is expected to be "&amp;TEXT(N4,"0.00%")&amp; " going forward."</f>
        <v>The growth rate is expected to be 15.00% going forward.</v>
      </c>
      <c r="J3" s="94"/>
      <c r="M3" s="13" t="s">
        <v>109</v>
      </c>
      <c r="N3" s="83">
        <v>1</v>
      </c>
      <c r="P3" t="s">
        <v>109</v>
      </c>
      <c r="Q3">
        <v>1</v>
      </c>
      <c r="R3" s="69">
        <f>R2*(1+$N$4)</f>
        <v>1.1499999999999999</v>
      </c>
      <c r="S3" s="123">
        <f t="shared" ref="S3:S8" si="1">R3/(1+$N$7)^Q3</f>
        <v>1</v>
      </c>
      <c r="X3" t="s">
        <v>110</v>
      </c>
      <c r="Y3" s="63">
        <v>0.08</v>
      </c>
      <c r="AA3" t="s">
        <v>109</v>
      </c>
      <c r="AB3">
        <v>2</v>
      </c>
      <c r="AC3" s="12">
        <f>AC2*(1+$N$4)</f>
        <v>2.3804999999999996</v>
      </c>
      <c r="AD3" s="12">
        <f t="shared" si="0"/>
        <v>1.8</v>
      </c>
    </row>
    <row r="4" spans="1:30" x14ac:dyDescent="0.25">
      <c r="A4" s="93" t="str">
        <f>"However, the firm’s current P/E ratio of " &amp; TEXT(N5,"0") &amp; " seems high for this growth rate. The P/E ratio is expected to fall to " &amp; TEXT(N6,"0") &amp; " within five years."</f>
        <v>However, the firm’s current P/E ratio of 25 seems high for this growth rate. The P/E ratio is expected to fall to 20 within five years.</v>
      </c>
      <c r="J4" s="94"/>
      <c r="M4" s="13" t="s">
        <v>110</v>
      </c>
      <c r="N4" s="86">
        <v>0.15</v>
      </c>
      <c r="P4" t="s">
        <v>109</v>
      </c>
      <c r="Q4">
        <v>2</v>
      </c>
      <c r="R4" s="69">
        <f>R3*(1+$N$4)</f>
        <v>1.3224999999999998</v>
      </c>
      <c r="S4" s="123">
        <f t="shared" si="1"/>
        <v>1</v>
      </c>
      <c r="X4" t="s">
        <v>111</v>
      </c>
      <c r="Y4">
        <v>27</v>
      </c>
      <c r="AA4" t="s">
        <v>109</v>
      </c>
      <c r="AB4">
        <v>3</v>
      </c>
      <c r="AC4" s="12">
        <f>AC3*(1+$N$4)</f>
        <v>2.7375749999999992</v>
      </c>
      <c r="AD4" s="12">
        <f t="shared" si="0"/>
        <v>1.8</v>
      </c>
    </row>
    <row r="5" spans="1:30" x14ac:dyDescent="0.25">
      <c r="A5" s="93"/>
      <c r="J5" s="94"/>
      <c r="M5" s="13" t="s">
        <v>111</v>
      </c>
      <c r="N5">
        <v>25</v>
      </c>
      <c r="P5" t="s">
        <v>109</v>
      </c>
      <c r="Q5">
        <v>3</v>
      </c>
      <c r="R5" s="69">
        <f>R4*(1+$N$4)</f>
        <v>1.5208749999999995</v>
      </c>
      <c r="S5" s="123">
        <f t="shared" si="1"/>
        <v>1</v>
      </c>
      <c r="X5" t="s">
        <v>112</v>
      </c>
      <c r="Y5">
        <v>23</v>
      </c>
      <c r="AA5" t="s">
        <v>109</v>
      </c>
      <c r="AB5">
        <v>4</v>
      </c>
      <c r="AC5" s="12">
        <f>AC4*(1+$N$4)</f>
        <v>3.1482112499999988</v>
      </c>
      <c r="AD5" s="12">
        <f t="shared" si="0"/>
        <v>1.7999999999999998</v>
      </c>
    </row>
    <row r="6" spans="1:30" x14ac:dyDescent="0.25">
      <c r="A6" s="93" t="s">
        <v>119</v>
      </c>
      <c r="J6" s="94"/>
      <c r="M6" s="13" t="s">
        <v>113</v>
      </c>
      <c r="N6">
        <v>20</v>
      </c>
      <c r="P6" t="s">
        <v>109</v>
      </c>
      <c r="Q6">
        <v>4</v>
      </c>
      <c r="R6" s="69">
        <f>R5*(1+$N$4)</f>
        <v>1.7490062499999994</v>
      </c>
      <c r="S6" s="123">
        <f t="shared" si="1"/>
        <v>1</v>
      </c>
      <c r="X6" t="s">
        <v>114</v>
      </c>
      <c r="Y6" s="1">
        <v>0.1</v>
      </c>
      <c r="AA6" t="s">
        <v>109</v>
      </c>
      <c r="AB6">
        <v>5</v>
      </c>
      <c r="AC6" s="12">
        <f>AC5*(1+$N$4)</f>
        <v>3.6204429374999982</v>
      </c>
      <c r="AD6" s="12">
        <f t="shared" si="0"/>
        <v>1.7999999999999996</v>
      </c>
    </row>
    <row r="7" spans="1:30" ht="15.75" thickBot="1" x14ac:dyDescent="0.3">
      <c r="A7" s="93" t="s">
        <v>120</v>
      </c>
      <c r="J7" s="94"/>
      <c r="M7" s="13" t="s">
        <v>114</v>
      </c>
      <c r="N7" s="87">
        <v>0.15</v>
      </c>
      <c r="P7" t="s">
        <v>109</v>
      </c>
      <c r="Q7">
        <v>5</v>
      </c>
      <c r="R7" s="69">
        <f>R6*(1+$N$4)</f>
        <v>2.0113571874999994</v>
      </c>
      <c r="S7" s="123">
        <f t="shared" si="1"/>
        <v>1</v>
      </c>
      <c r="AA7" s="18" t="s">
        <v>12</v>
      </c>
      <c r="AB7" s="18">
        <v>5</v>
      </c>
      <c r="AC7" s="88">
        <f>Y10</f>
        <v>94.624728145920017</v>
      </c>
      <c r="AD7" s="88">
        <f t="shared" si="0"/>
        <v>47.045213418076713</v>
      </c>
    </row>
    <row r="8" spans="1:30" ht="16.5" thickTop="1" thickBot="1" x14ac:dyDescent="0.3">
      <c r="A8" s="95" t="str">
        <f>"Calculate the present value of these cash flows using a " &amp; TEXT(N7,"0.00%") &amp;" percent discount rate."</f>
        <v>Calculate the present value of these cash flows using a 15.00% percent discount rate.</v>
      </c>
      <c r="B8" s="96"/>
      <c r="C8" s="96"/>
      <c r="D8" s="96"/>
      <c r="E8" s="96"/>
      <c r="F8" s="96"/>
      <c r="G8" s="96"/>
      <c r="H8" s="96"/>
      <c r="I8" s="96"/>
      <c r="J8" s="97"/>
      <c r="P8" s="18" t="s">
        <v>12</v>
      </c>
      <c r="Q8" s="18">
        <v>5</v>
      </c>
      <c r="R8" s="120">
        <f>N11</f>
        <v>80.454287499999978</v>
      </c>
      <c r="S8" s="124">
        <f t="shared" si="1"/>
        <v>40</v>
      </c>
      <c r="AD8" s="12">
        <f>SUM(AD2:AD7)</f>
        <v>56.045213418076713</v>
      </c>
    </row>
    <row r="9" spans="1:30" ht="15.75" thickTop="1" x14ac:dyDescent="0.25">
      <c r="R9" s="121" t="s">
        <v>115</v>
      </c>
      <c r="S9" s="123">
        <f>SUM(S3:S8)</f>
        <v>45</v>
      </c>
      <c r="Y9" s="12"/>
    </row>
    <row r="10" spans="1:30" x14ac:dyDescent="0.25">
      <c r="N10" s="12"/>
      <c r="X10" t="s">
        <v>116</v>
      </c>
      <c r="Y10" s="12">
        <f>Y5*(Y1*(1+Y3)^AB7)</f>
        <v>94.624728145920017</v>
      </c>
      <c r="AB10" s="89"/>
      <c r="AC10" s="12"/>
    </row>
    <row r="11" spans="1:30" x14ac:dyDescent="0.25">
      <c r="M11" t="s">
        <v>116</v>
      </c>
      <c r="N11" s="69">
        <f>N6*(N2*(1+N4)^Q8)</f>
        <v>80.454287499999978</v>
      </c>
      <c r="O11" t="str">
        <f ca="1">_xlfn.FORMULATEXT(N11)</f>
        <v>=N6*(N2*(1+N4)^Q8)</v>
      </c>
      <c r="R11" s="12" t="s">
        <v>117</v>
      </c>
      <c r="S11" s="69">
        <f>NPV(N7,R3,R4,R5,R6,R7+R8)</f>
        <v>45</v>
      </c>
      <c r="X11" t="s">
        <v>118</v>
      </c>
      <c r="AB11" s="89"/>
      <c r="AC11" s="12"/>
    </row>
    <row r="12" spans="1:30" x14ac:dyDescent="0.25">
      <c r="M12" s="84" t="s">
        <v>118</v>
      </c>
      <c r="Q12" s="12"/>
      <c r="R12" s="12"/>
    </row>
    <row r="13" spans="1:30" x14ac:dyDescent="0.25">
      <c r="K13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D98C-B68B-4928-87E0-6C7B1111504C}">
  <sheetPr>
    <tabColor rgb="FF002060"/>
  </sheetPr>
  <dimension ref="A1:R36"/>
  <sheetViews>
    <sheetView workbookViewId="0">
      <selection activeCell="K28" sqref="K28"/>
    </sheetView>
  </sheetViews>
  <sheetFormatPr defaultRowHeight="15" x14ac:dyDescent="0.25"/>
  <cols>
    <col min="2" max="2" width="13.85546875" customWidth="1"/>
    <col min="3" max="3" width="10.140625" customWidth="1"/>
    <col min="5" max="5" width="14.140625" customWidth="1"/>
    <col min="8" max="8" width="11.7109375" customWidth="1"/>
    <col min="10" max="10" width="20.85546875" customWidth="1"/>
    <col min="11" max="11" width="10.7109375" customWidth="1"/>
    <col min="12" max="12" width="17.85546875" customWidth="1"/>
    <col min="13" max="13" width="8" customWidth="1"/>
    <col min="14" max="14" width="5.7109375" style="64" customWidth="1"/>
    <col min="15" max="15" width="11" customWidth="1"/>
    <col min="16" max="16" width="10.5703125" customWidth="1"/>
    <col min="17" max="17" width="10.140625" style="64" customWidth="1"/>
    <col min="18" max="18" width="10.85546875" style="64" customWidth="1"/>
    <col min="20" max="20" width="14.5703125" bestFit="1" customWidth="1"/>
    <col min="21" max="21" width="16.140625" customWidth="1"/>
    <col min="22" max="22" width="13.85546875" customWidth="1"/>
    <col min="23" max="23" width="13.5703125" customWidth="1"/>
  </cols>
  <sheetData>
    <row r="1" spans="1:18" ht="15.75" thickBot="1" x14ac:dyDescent="0.3">
      <c r="A1" t="s">
        <v>196</v>
      </c>
      <c r="D1" s="64"/>
      <c r="G1" s="64"/>
      <c r="H1" s="64"/>
      <c r="N1"/>
      <c r="O1" s="160" t="s">
        <v>197</v>
      </c>
      <c r="P1" s="161">
        <v>30000</v>
      </c>
      <c r="Q1"/>
      <c r="R1"/>
    </row>
    <row r="2" spans="1:18" ht="38.25" x14ac:dyDescent="0.25">
      <c r="A2" s="162" t="s">
        <v>198</v>
      </c>
      <c r="B2" s="163" t="s">
        <v>0</v>
      </c>
      <c r="C2" s="164" t="s">
        <v>199</v>
      </c>
      <c r="D2" s="165" t="s">
        <v>200</v>
      </c>
      <c r="E2" s="166" t="s">
        <v>201</v>
      </c>
      <c r="F2" s="166" t="s">
        <v>202</v>
      </c>
      <c r="G2" s="167" t="s">
        <v>203</v>
      </c>
      <c r="H2" s="167" t="s">
        <v>204</v>
      </c>
      <c r="I2" s="167" t="s">
        <v>205</v>
      </c>
      <c r="J2" s="167" t="s">
        <v>206</v>
      </c>
      <c r="K2" s="167" t="s">
        <v>207</v>
      </c>
      <c r="L2" s="167" t="s">
        <v>208</v>
      </c>
      <c r="M2" s="167" t="s">
        <v>209</v>
      </c>
      <c r="N2"/>
      <c r="O2" s="168" t="s">
        <v>210</v>
      </c>
      <c r="P2" s="169">
        <v>1.6</v>
      </c>
      <c r="Q2"/>
      <c r="R2"/>
    </row>
    <row r="3" spans="1:18" x14ac:dyDescent="0.25">
      <c r="A3" s="170" t="s">
        <v>211</v>
      </c>
      <c r="B3" s="171">
        <f>P3</f>
        <v>2</v>
      </c>
      <c r="C3" s="220">
        <v>16</v>
      </c>
      <c r="D3" s="172">
        <f>ROUNDDOWN(E3/C3,0)</f>
        <v>875</v>
      </c>
      <c r="E3" s="173">
        <f>F3*E5</f>
        <v>14000.000000000004</v>
      </c>
      <c r="F3" s="226">
        <f>P5</f>
        <v>0.46666666666666679</v>
      </c>
      <c r="G3" s="174">
        <f>(E3/$E$5)*B3</f>
        <v>0.93333333333333357</v>
      </c>
      <c r="H3" s="175">
        <f>$B$8+B3*($B$7-$B$8)</f>
        <v>0.21</v>
      </c>
      <c r="I3" s="176"/>
      <c r="J3" s="177">
        <f>C3*(1+H3)-I3</f>
        <v>19.36</v>
      </c>
      <c r="K3" s="83">
        <v>18</v>
      </c>
      <c r="L3" s="12">
        <f>(K3+I3)/(1+H3)</f>
        <v>14.87603305785124</v>
      </c>
      <c r="M3" s="12">
        <f>C3-L3</f>
        <v>1.1239669421487601</v>
      </c>
      <c r="N3"/>
      <c r="O3" s="160" t="s">
        <v>212</v>
      </c>
      <c r="P3" s="178">
        <v>2</v>
      </c>
      <c r="Q3"/>
      <c r="R3"/>
    </row>
    <row r="4" spans="1:18" x14ac:dyDescent="0.25">
      <c r="A4" s="179" t="s">
        <v>213</v>
      </c>
      <c r="B4" s="180">
        <f>P4</f>
        <v>1.25</v>
      </c>
      <c r="C4" s="221">
        <v>25</v>
      </c>
      <c r="D4" s="172">
        <f>ROUNDDOWN(E4/C4,0)</f>
        <v>640</v>
      </c>
      <c r="E4" s="181">
        <f>F4*E5</f>
        <v>15999.999999999996</v>
      </c>
      <c r="F4" s="227">
        <f>P6</f>
        <v>0.53333333333333321</v>
      </c>
      <c r="G4" s="182">
        <f>(E4/$E$5)*B4</f>
        <v>0.66666666666666652</v>
      </c>
      <c r="H4" s="183">
        <f>$B$8+B4*($B$7-$B$8)</f>
        <v>0.14249999999999999</v>
      </c>
      <c r="I4" s="219">
        <v>1</v>
      </c>
      <c r="J4" s="184">
        <f>C4*(1+H4)-I4</f>
        <v>27.5625</v>
      </c>
      <c r="N4"/>
      <c r="O4" s="168" t="s">
        <v>214</v>
      </c>
      <c r="P4" s="185">
        <v>1.25</v>
      </c>
      <c r="Q4"/>
      <c r="R4"/>
    </row>
    <row r="5" spans="1:18" x14ac:dyDescent="0.25">
      <c r="A5" s="186" t="s">
        <v>215</v>
      </c>
      <c r="B5" s="176"/>
      <c r="C5" s="176"/>
      <c r="D5" s="174"/>
      <c r="E5" s="187">
        <f>P1</f>
        <v>30000</v>
      </c>
      <c r="F5" s="188"/>
      <c r="G5" s="189">
        <f>SUM(G3:G4)</f>
        <v>1.6</v>
      </c>
      <c r="H5" s="190">
        <f>SUMPRODUCT(F3:F4,H3:H4)</f>
        <v>0.17399999999999999</v>
      </c>
      <c r="I5" s="176"/>
      <c r="J5" s="176"/>
      <c r="N5"/>
      <c r="O5" s="191" t="s">
        <v>216</v>
      </c>
      <c r="P5" s="224">
        <f>(P2-P4)/(P3-P4)</f>
        <v>0.46666666666666679</v>
      </c>
      <c r="Q5"/>
      <c r="R5"/>
    </row>
    <row r="6" spans="1:18" x14ac:dyDescent="0.25">
      <c r="D6" s="64"/>
      <c r="G6" s="64"/>
      <c r="H6" s="64"/>
      <c r="J6" s="228" t="s">
        <v>217</v>
      </c>
      <c r="L6" s="192" t="s">
        <v>218</v>
      </c>
      <c r="N6"/>
      <c r="O6" s="193" t="s">
        <v>219</v>
      </c>
      <c r="P6" s="225">
        <f>1-P5</f>
        <v>0.53333333333333321</v>
      </c>
      <c r="Q6"/>
      <c r="R6"/>
    </row>
    <row r="7" spans="1:18" x14ac:dyDescent="0.25">
      <c r="A7" s="186" t="s">
        <v>220</v>
      </c>
      <c r="B7" s="2">
        <v>0.12</v>
      </c>
      <c r="D7" s="64"/>
      <c r="G7" s="64"/>
      <c r="H7" s="64"/>
      <c r="N7"/>
      <c r="Q7"/>
      <c r="R7"/>
    </row>
    <row r="8" spans="1:18" x14ac:dyDescent="0.25">
      <c r="A8" s="186" t="s">
        <v>221</v>
      </c>
      <c r="B8" s="2">
        <v>0.03</v>
      </c>
      <c r="D8" s="64"/>
      <c r="G8" s="64"/>
      <c r="H8" s="64"/>
      <c r="N8"/>
      <c r="Q8"/>
      <c r="R8"/>
    </row>
    <row r="9" spans="1:18" x14ac:dyDescent="0.25">
      <c r="D9" s="64"/>
      <c r="G9" s="64"/>
      <c r="H9" s="64"/>
      <c r="N9"/>
      <c r="Q9"/>
      <c r="R9"/>
    </row>
    <row r="11" spans="1:18" x14ac:dyDescent="0.25">
      <c r="A11" s="98" t="str">
        <f>"You have  " &amp; TEXT(E5,"$0,000") &amp; " to invest in Security A and Security B."</f>
        <v>You have  $30,000 to invest in Security A and Security B.</v>
      </c>
      <c r="B11" s="98"/>
      <c r="C11" s="98"/>
      <c r="D11" s="98"/>
      <c r="E11" s="98"/>
      <c r="F11" s="98"/>
      <c r="G11" s="98"/>
    </row>
    <row r="12" spans="1:18" x14ac:dyDescent="0.25">
      <c r="A12" s="98" t="str">
        <f>"Security A has a beta of " &amp; TEXT(B3,"0.00") &amp; " and a price of " &amp; TEXT(C3,"$0")</f>
        <v>Security A has a beta of 2.00 and a price of $16</v>
      </c>
    </row>
    <row r="13" spans="1:18" x14ac:dyDescent="0.25">
      <c r="A13" s="98" t="str">
        <f>"Security B has a beta of " &amp; TEXT(B4,"0.00") &amp; " and a price of " &amp; TEXT(C4,"$0")</f>
        <v>Security B has a beta of 1.25 and a price of $25</v>
      </c>
    </row>
    <row r="14" spans="1:18" x14ac:dyDescent="0.25">
      <c r="A14" s="98" t="str">
        <f>"The risk free rate is  " &amp; TEXT(B8,"0.00%") &amp; "  and the expected return of the market is "  &amp; TEXT(B7,"0.00%")</f>
        <v>The risk free rate is  3.00%  and the expected return of the market is 12.00%</v>
      </c>
    </row>
    <row r="16" spans="1:18" x14ac:dyDescent="0.25">
      <c r="A16" s="98" t="str">
        <f>"1. How many shares should you purchase of each to achieve a portfolio beta of "&amp; TEXT(G5,"0.00")&amp;"?"</f>
        <v>1. How many shares should you purchase of each to achieve a portfolio beta of 1.60?</v>
      </c>
      <c r="B16" s="98"/>
      <c r="C16" s="98"/>
      <c r="D16" s="98"/>
      <c r="E16" s="98"/>
      <c r="F16" s="98"/>
      <c r="G16" s="98"/>
    </row>
    <row r="17" spans="1:7" x14ac:dyDescent="0.25">
      <c r="A17" s="98"/>
      <c r="B17" t="s">
        <v>222</v>
      </c>
      <c r="C17" s="194">
        <f>D3</f>
        <v>875</v>
      </c>
      <c r="D17" s="98"/>
      <c r="E17" s="98"/>
      <c r="F17" s="98"/>
      <c r="G17" s="98"/>
    </row>
    <row r="18" spans="1:7" x14ac:dyDescent="0.25">
      <c r="A18" s="98"/>
      <c r="B18" t="s">
        <v>223</v>
      </c>
      <c r="C18" s="98">
        <f>D4</f>
        <v>640</v>
      </c>
      <c r="D18" s="98"/>
      <c r="E18" s="98"/>
      <c r="F18" s="98"/>
      <c r="G18" s="98"/>
    </row>
    <row r="19" spans="1:7" x14ac:dyDescent="0.25">
      <c r="A19" s="98" t="str">
        <f>"2. What is the expected return on Security A?"</f>
        <v>2. What is the expected return on Security A?</v>
      </c>
      <c r="B19" s="98"/>
      <c r="C19" s="98"/>
      <c r="D19" s="98"/>
      <c r="E19" s="98"/>
      <c r="F19" s="98"/>
      <c r="G19" s="98"/>
    </row>
    <row r="20" spans="1:7" x14ac:dyDescent="0.25">
      <c r="A20" s="98"/>
      <c r="B20" t="s">
        <v>224</v>
      </c>
      <c r="C20" s="195">
        <f>H3</f>
        <v>0.21</v>
      </c>
      <c r="D20" s="98"/>
      <c r="E20" s="98"/>
      <c r="F20" s="98"/>
      <c r="G20" s="98"/>
    </row>
    <row r="21" spans="1:7" x14ac:dyDescent="0.25">
      <c r="A21" s="98" t="str">
        <f>"3. What is the expected return on Security B?"</f>
        <v>3. What is the expected return on Security B?</v>
      </c>
      <c r="B21" s="98"/>
      <c r="C21" s="98"/>
      <c r="D21" s="98"/>
      <c r="E21" s="98"/>
      <c r="F21" s="98"/>
      <c r="G21" s="98"/>
    </row>
    <row r="22" spans="1:7" x14ac:dyDescent="0.25">
      <c r="A22" s="98"/>
      <c r="B22" t="s">
        <v>225</v>
      </c>
      <c r="C22" s="195">
        <f>H4</f>
        <v>0.14249999999999999</v>
      </c>
      <c r="D22" s="98"/>
      <c r="E22" s="98"/>
      <c r="F22" s="98"/>
      <c r="G22" s="98"/>
    </row>
    <row r="24" spans="1:7" x14ac:dyDescent="0.25">
      <c r="A24" s="98" t="str">
        <f>"4. If Company B pays an end-of-year dividend of "&amp; TEXT(I4,"$0.00")&amp;".  What would the fair price of security B be in one year?"</f>
        <v>4. If Company B pays an end-of-year dividend of $1.00.  What would the fair price of security B be in one year?</v>
      </c>
      <c r="B24" s="98"/>
      <c r="C24" s="98"/>
      <c r="D24" s="98"/>
      <c r="E24" s="98"/>
      <c r="F24" s="98"/>
      <c r="G24" s="98"/>
    </row>
    <row r="25" spans="1:7" x14ac:dyDescent="0.25">
      <c r="A25" s="98"/>
      <c r="B25" t="s">
        <v>226</v>
      </c>
      <c r="C25" s="196">
        <f>J4</f>
        <v>27.5625</v>
      </c>
      <c r="D25" s="98"/>
      <c r="E25" s="98"/>
      <c r="F25" s="98"/>
      <c r="G25" s="98"/>
    </row>
    <row r="26" spans="1:7" x14ac:dyDescent="0.25">
      <c r="A26" s="98" t="str">
        <f>"5. Security A does not pay a dividend. What do you think the the fair price of security A should be in one year (P1)?"</f>
        <v>5. Security A does not pay a dividend. What do you think the the fair price of security A should be in one year (P1)?</v>
      </c>
      <c r="B26" s="98"/>
      <c r="C26" s="98"/>
      <c r="D26" s="98"/>
      <c r="E26" s="98"/>
      <c r="F26" s="98"/>
      <c r="G26" s="98"/>
    </row>
    <row r="27" spans="1:7" x14ac:dyDescent="0.25">
      <c r="A27" s="98"/>
      <c r="B27" t="s">
        <v>227</v>
      </c>
      <c r="C27" s="196">
        <f>J3</f>
        <v>19.36</v>
      </c>
      <c r="D27" s="98"/>
      <c r="E27" s="98"/>
      <c r="F27" s="98"/>
      <c r="G27" s="98"/>
    </row>
    <row r="29" spans="1:7" x14ac:dyDescent="0.25">
      <c r="A29" s="98" t="str">
        <f>"6. An equity research analyst thinks Security A expected price in 1-year (P1) is " &amp;TEXT(K3,"$0.00") &amp; ".  "</f>
        <v xml:space="preserve">6. An equity research analyst thinks Security A expected price in 1-year (P1) is $18.00.  </v>
      </c>
      <c r="B29" s="98"/>
      <c r="C29" s="98"/>
      <c r="D29" s="98"/>
      <c r="E29" s="98"/>
      <c r="F29" s="98"/>
      <c r="G29" s="98"/>
    </row>
    <row r="30" spans="1:7" x14ac:dyDescent="0.25">
      <c r="A30" s="98" t="str">
        <f>"         Given that data, what would be the current intrinsic value (P0) for security A ? Is the stock over or under valued compared to the price per share?"</f>
        <v xml:space="preserve">         Given that data, what would be the current intrinsic value (P0) for security A ? Is the stock over or under valued compared to the price per share?</v>
      </c>
      <c r="B30" s="98"/>
      <c r="C30" s="98"/>
      <c r="D30" s="98"/>
      <c r="E30" s="98"/>
      <c r="F30" s="98"/>
      <c r="G30" s="98"/>
    </row>
    <row r="31" spans="1:7" x14ac:dyDescent="0.25">
      <c r="B31" t="s">
        <v>228</v>
      </c>
      <c r="C31" s="12">
        <f>L3</f>
        <v>14.87603305785124</v>
      </c>
    </row>
    <row r="32" spans="1:7" x14ac:dyDescent="0.25">
      <c r="B32" t="s">
        <v>229</v>
      </c>
      <c r="C32" t="str">
        <f>IF(M3&gt;0,"Over","Under")</f>
        <v>Over</v>
      </c>
    </row>
    <row r="33" spans="1:3" x14ac:dyDescent="0.25">
      <c r="B33" t="s">
        <v>230</v>
      </c>
      <c r="C33" s="12">
        <f>M3</f>
        <v>1.1239669421487601</v>
      </c>
    </row>
    <row r="36" spans="1:3" x14ac:dyDescent="0.25">
      <c r="A36" t="s">
        <v>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48E3-D2F2-4CA7-B20E-1A62138DDEA3}">
  <sheetPr>
    <tabColor theme="8" tint="-0.499984740745262"/>
  </sheetPr>
  <dimension ref="A1:I22"/>
  <sheetViews>
    <sheetView workbookViewId="0">
      <selection activeCell="B9" sqref="B9"/>
    </sheetView>
  </sheetViews>
  <sheetFormatPr defaultRowHeight="15" x14ac:dyDescent="0.25"/>
  <cols>
    <col min="1" max="1" width="14.7109375" customWidth="1"/>
    <col min="4" max="4" width="22.7109375" customWidth="1"/>
    <col min="5" max="5" width="9.7109375" customWidth="1"/>
    <col min="8" max="8" width="10.5703125" customWidth="1"/>
    <col min="9" max="9" width="12.140625" customWidth="1"/>
  </cols>
  <sheetData>
    <row r="1" spans="1:9" ht="18" x14ac:dyDescent="0.25">
      <c r="A1" s="99" t="s">
        <v>232</v>
      </c>
    </row>
    <row r="4" spans="1:9" x14ac:dyDescent="0.25">
      <c r="A4" s="36"/>
      <c r="B4" s="197"/>
      <c r="C4" s="197"/>
      <c r="D4" s="197" t="s">
        <v>233</v>
      </c>
      <c r="E4" s="197"/>
      <c r="F4" s="197"/>
      <c r="G4" s="197"/>
      <c r="H4" s="197"/>
      <c r="I4" s="198"/>
    </row>
    <row r="5" spans="1:9" ht="15.75" thickBot="1" x14ac:dyDescent="0.3">
      <c r="A5" s="199" t="s">
        <v>234</v>
      </c>
      <c r="B5" s="83">
        <v>0.5</v>
      </c>
      <c r="D5" s="18" t="s">
        <v>235</v>
      </c>
      <c r="E5" s="119">
        <v>0</v>
      </c>
      <c r="F5" s="18">
        <v>1</v>
      </c>
      <c r="G5" s="18">
        <v>2</v>
      </c>
      <c r="H5" s="18">
        <v>3</v>
      </c>
      <c r="I5" s="200" t="s">
        <v>236</v>
      </c>
    </row>
    <row r="6" spans="1:9" ht="15.75" thickTop="1" x14ac:dyDescent="0.25">
      <c r="A6" t="s">
        <v>237</v>
      </c>
      <c r="B6" s="87">
        <v>0.18</v>
      </c>
      <c r="D6" t="s">
        <v>238</v>
      </c>
      <c r="E6" s="201"/>
      <c r="F6" s="177">
        <f>$B$5*(1+$B$6)^F5</f>
        <v>0.59</v>
      </c>
      <c r="G6" s="177">
        <f>$B$5*(1+$B$6)^G5</f>
        <v>0.69619999999999993</v>
      </c>
      <c r="H6" s="177">
        <f>$B$5*(1+$B$6)^H5</f>
        <v>0.82151599999999991</v>
      </c>
      <c r="I6" s="202"/>
    </row>
    <row r="7" spans="1:9" x14ac:dyDescent="0.25">
      <c r="A7" t="s">
        <v>239</v>
      </c>
      <c r="B7" s="86">
        <v>0.1</v>
      </c>
      <c r="D7" t="s">
        <v>240</v>
      </c>
      <c r="E7" s="174"/>
      <c r="F7" s="176"/>
      <c r="G7" s="176"/>
      <c r="I7" s="177">
        <f>H6*(1+B7)/(B8-B7)</f>
        <v>45.183380000000021</v>
      </c>
    </row>
    <row r="8" spans="1:9" x14ac:dyDescent="0.25">
      <c r="A8" t="s">
        <v>114</v>
      </c>
      <c r="B8" s="87">
        <v>0.12</v>
      </c>
      <c r="D8" t="s">
        <v>241</v>
      </c>
      <c r="E8" s="203">
        <f>NPV(B8,F6,G6,H6+I7)</f>
        <v>33.827168367346943</v>
      </c>
      <c r="F8" s="176"/>
      <c r="G8" s="176"/>
      <c r="H8" s="176"/>
      <c r="I8" s="176"/>
    </row>
    <row r="9" spans="1:9" x14ac:dyDescent="0.25">
      <c r="A9" t="s">
        <v>242</v>
      </c>
      <c r="B9" s="100">
        <v>3</v>
      </c>
      <c r="E9" s="64"/>
    </row>
    <row r="10" spans="1:9" x14ac:dyDescent="0.25">
      <c r="A10" s="36"/>
      <c r="B10" s="197"/>
      <c r="C10" s="197"/>
      <c r="D10" s="197" t="s">
        <v>243</v>
      </c>
      <c r="E10" s="204"/>
      <c r="F10" s="197"/>
      <c r="G10" s="197"/>
      <c r="H10" s="197"/>
      <c r="I10" s="198"/>
    </row>
    <row r="11" spans="1:9" ht="15.75" thickBot="1" x14ac:dyDescent="0.3">
      <c r="A11" s="199" t="s">
        <v>234</v>
      </c>
      <c r="B11" s="12">
        <f>B5</f>
        <v>0.5</v>
      </c>
      <c r="D11" s="18" t="s">
        <v>235</v>
      </c>
      <c r="E11" s="119">
        <v>0</v>
      </c>
      <c r="F11" s="18">
        <v>1</v>
      </c>
      <c r="G11" s="18">
        <v>2</v>
      </c>
      <c r="H11" s="18">
        <v>3</v>
      </c>
      <c r="I11" s="205" t="s">
        <v>236</v>
      </c>
    </row>
    <row r="12" spans="1:9" ht="15.75" thickTop="1" x14ac:dyDescent="0.25">
      <c r="A12" s="199" t="s">
        <v>237</v>
      </c>
      <c r="B12" s="1">
        <f>B6</f>
        <v>0.18</v>
      </c>
      <c r="D12" t="s">
        <v>238</v>
      </c>
      <c r="E12" s="65"/>
      <c r="F12" s="12">
        <f>$B$5*(1+$B$6)^F11</f>
        <v>0.59</v>
      </c>
      <c r="G12" s="12">
        <f>$B$5*(1+$B$6)^G11</f>
        <v>0.69619999999999993</v>
      </c>
      <c r="H12" s="12">
        <f>$B$5*(1+$B$6)^H11</f>
        <v>0.82151599999999991</v>
      </c>
      <c r="I12" s="58"/>
    </row>
    <row r="13" spans="1:9" x14ac:dyDescent="0.25">
      <c r="A13" s="199" t="s">
        <v>239</v>
      </c>
      <c r="B13" s="206">
        <f>B7</f>
        <v>0.1</v>
      </c>
      <c r="D13" t="s">
        <v>240</v>
      </c>
      <c r="E13" s="64"/>
      <c r="I13" s="207">
        <f>(H12*(1+B13))/(B14-B13)</f>
        <v>45.183380000000021</v>
      </c>
    </row>
    <row r="14" spans="1:9" x14ac:dyDescent="0.25">
      <c r="A14" s="199" t="s">
        <v>114</v>
      </c>
      <c r="B14" s="1">
        <f>B8</f>
        <v>0.12</v>
      </c>
      <c r="D14" s="27" t="s">
        <v>77</v>
      </c>
      <c r="E14" s="208"/>
      <c r="F14" s="209">
        <f>F12/((1+$B$8)^F5)</f>
        <v>0.52678571428571419</v>
      </c>
      <c r="G14" s="209">
        <f>G12/((1+$B$8)^G5)</f>
        <v>0.55500637755102022</v>
      </c>
      <c r="H14" s="209">
        <f>H12/((1+$B$8)^H5)</f>
        <v>0.584738862062682</v>
      </c>
      <c r="I14" s="210">
        <f>I13/((1+$B$8)^H11)</f>
        <v>32.160637413447525</v>
      </c>
    </row>
    <row r="15" spans="1:9" x14ac:dyDescent="0.25">
      <c r="A15" s="41" t="s">
        <v>242</v>
      </c>
      <c r="B15" s="211">
        <f>B9</f>
        <v>3</v>
      </c>
      <c r="C15" s="27"/>
      <c r="D15" s="27" t="s">
        <v>241</v>
      </c>
      <c r="E15" s="212">
        <f>SUM(F14:I14)</f>
        <v>33.827168367346943</v>
      </c>
      <c r="F15" s="27"/>
      <c r="G15" s="27"/>
      <c r="H15" s="27"/>
      <c r="I15" s="59"/>
    </row>
    <row r="17" spans="1:6" x14ac:dyDescent="0.25">
      <c r="A17" s="61" t="s">
        <v>62</v>
      </c>
    </row>
    <row r="18" spans="1:6" x14ac:dyDescent="0.25">
      <c r="A18" s="7" t="str">
        <f>"A fast-growing firm recently paid a dividend of "&amp;TEXT(B5,"$0.00")&amp;" per share."</f>
        <v>A fast-growing firm recently paid a dividend of $0.50 per share.</v>
      </c>
      <c r="B18" s="7"/>
      <c r="C18" s="7"/>
      <c r="D18" s="7"/>
      <c r="E18" s="7"/>
      <c r="F18" s="7"/>
    </row>
    <row r="19" spans="1:6" x14ac:dyDescent="0.25">
      <c r="A19" s="7" t="str">
        <f>"The dividend is expected to increase at a " &amp; TEXT(B6,"0.00%") &amp;" for the next "&amp;TEXT(B9,"0")&amp;" years."</f>
        <v>The dividend is expected to increase at a 18.00% for the next 3 years.</v>
      </c>
      <c r="B19" s="7"/>
      <c r="C19" s="7"/>
      <c r="D19" s="7"/>
      <c r="E19" s="7"/>
      <c r="F19" s="7"/>
    </row>
    <row r="20" spans="1:6" x14ac:dyDescent="0.25">
      <c r="A20" s="7" t="str">
        <f>"Afterwards, a more stable " &amp;TEXT(B7,"0.00%") &amp; " growth rate can be assumed."</f>
        <v>Afterwards, a more stable 10.00% growth rate can be assumed.</v>
      </c>
      <c r="B20" s="7"/>
      <c r="C20" s="7"/>
      <c r="D20" s="7"/>
      <c r="E20" s="7"/>
      <c r="F20" s="7"/>
    </row>
    <row r="21" spans="1:6" x14ac:dyDescent="0.25">
      <c r="A21" s="7" t="str">
        <f>"If a " &amp;TEXT(B8,"0.00%") &amp;" discount rate is appropriate for this stock, what is its value today?"</f>
        <v>If a 12.00% discount rate is appropriate for this stock, what is its value today?</v>
      </c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71B9-F875-4331-AD1C-C4F77D609F2B}">
  <sheetPr>
    <tabColor theme="8" tint="-0.499984740745262"/>
  </sheetPr>
  <dimension ref="A1:L14"/>
  <sheetViews>
    <sheetView workbookViewId="0">
      <selection activeCell="E28" sqref="E28"/>
    </sheetView>
  </sheetViews>
  <sheetFormatPr defaultRowHeight="15" x14ac:dyDescent="0.25"/>
  <cols>
    <col min="1" max="1" width="32.7109375" customWidth="1"/>
    <col min="2" max="2" width="14.5703125" bestFit="1" customWidth="1"/>
    <col min="3" max="3" width="21.85546875" customWidth="1"/>
    <col min="4" max="4" width="21.42578125" customWidth="1"/>
  </cols>
  <sheetData>
    <row r="1" spans="1:12" ht="18" x14ac:dyDescent="0.25">
      <c r="A1" s="99" t="s">
        <v>121</v>
      </c>
    </row>
    <row r="3" spans="1:12" x14ac:dyDescent="0.25">
      <c r="A3" s="101" t="str">
        <f>"A firm does not pay a dividend. It is expected to pay its first dividend of " &amp; TEXT(B10,"$0.00")&amp; " per share in "&amp; TEXT(B9,"0")&amp;" years. This dividend will grow at " &amp; TEXT(B7,"0.00%") &amp;" percent indefinitely."</f>
        <v>A firm does not pay a dividend. It is expected to pay its first dividend of $2.00 per share in 3 years. This dividend will grow at 8.00% percent indefinitely.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2" x14ac:dyDescent="0.25">
      <c r="A4" s="104" t="str">
        <f>" Use a " &amp;TEXT(B8,"0.00%")&amp;" percent discount rate."</f>
        <v xml:space="preserve"> Use a 15.00% percent discount rate.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105"/>
    </row>
    <row r="5" spans="1:12" x14ac:dyDescent="0.25">
      <c r="A5" s="106" t="s">
        <v>122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8"/>
    </row>
    <row r="7" spans="1:12" x14ac:dyDescent="0.25">
      <c r="A7" s="13" t="s">
        <v>110</v>
      </c>
      <c r="B7" s="87">
        <v>0.08</v>
      </c>
    </row>
    <row r="8" spans="1:12" x14ac:dyDescent="0.25">
      <c r="A8" s="13" t="s">
        <v>123</v>
      </c>
      <c r="B8" s="87">
        <v>0.15</v>
      </c>
    </row>
    <row r="9" spans="1:12" x14ac:dyDescent="0.25">
      <c r="A9" t="s">
        <v>132</v>
      </c>
      <c r="B9" s="100">
        <v>3</v>
      </c>
    </row>
    <row r="10" spans="1:12" x14ac:dyDescent="0.25">
      <c r="A10" t="str">
        <f>"D1 of Year " &amp; TEXT(B9,"0")</f>
        <v>D1 of Year 3</v>
      </c>
      <c r="B10" s="12">
        <v>2</v>
      </c>
      <c r="D10" s="12"/>
    </row>
    <row r="11" spans="1:12" x14ac:dyDescent="0.25">
      <c r="A11" t="s">
        <v>124</v>
      </c>
      <c r="B11" s="100">
        <f>B9-1</f>
        <v>2</v>
      </c>
      <c r="C11" t="str">
        <f t="shared" ref="C11" ca="1" si="0">_xlfn.FORMULATEXT(B11)</f>
        <v>=B9-1</v>
      </c>
    </row>
    <row r="13" spans="1:12" x14ac:dyDescent="0.25">
      <c r="A13" t="s">
        <v>125</v>
      </c>
      <c r="B13" s="12">
        <f>B10/(B8-B7)</f>
        <v>28.571428571428573</v>
      </c>
      <c r="C13" t="str">
        <f ca="1">_xlfn.FORMULATEXT(B13)</f>
        <v>=B10/(B8-B7)</v>
      </c>
    </row>
    <row r="14" spans="1:12" x14ac:dyDescent="0.25">
      <c r="A14" t="s">
        <v>126</v>
      </c>
      <c r="B14" s="12">
        <f>B13/(1+B8)^B11</f>
        <v>21.604104779908187</v>
      </c>
      <c r="C14" t="str">
        <f ca="1">_xlfn.FORMULATEXT(B14)</f>
        <v>=B13/(1+B8)^B11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C31B-F6B7-4D1D-8C6B-72374219DA74}">
  <sheetPr>
    <tabColor rgb="FF002060"/>
  </sheetPr>
  <dimension ref="A3:F8"/>
  <sheetViews>
    <sheetView workbookViewId="0">
      <selection activeCell="R35" sqref="R35"/>
    </sheetView>
  </sheetViews>
  <sheetFormatPr defaultRowHeight="15" x14ac:dyDescent="0.25"/>
  <cols>
    <col min="3" max="3" width="14" customWidth="1"/>
    <col min="4" max="4" width="16.7109375" customWidth="1"/>
  </cols>
  <sheetData>
    <row r="3" spans="1:6" x14ac:dyDescent="0.25">
      <c r="A3" t="s">
        <v>215</v>
      </c>
      <c r="B3" s="10">
        <v>15000</v>
      </c>
    </row>
    <row r="5" spans="1:6" x14ac:dyDescent="0.25">
      <c r="B5" t="s">
        <v>12</v>
      </c>
      <c r="C5" t="s">
        <v>280</v>
      </c>
      <c r="D5" t="s">
        <v>281</v>
      </c>
      <c r="E5" t="s">
        <v>282</v>
      </c>
      <c r="F5" s="15" t="s">
        <v>200</v>
      </c>
    </row>
    <row r="6" spans="1:6" x14ac:dyDescent="0.25">
      <c r="A6" t="s">
        <v>277</v>
      </c>
      <c r="B6" s="12">
        <v>42.88</v>
      </c>
      <c r="C6" s="223">
        <v>0.3</v>
      </c>
      <c r="D6" s="10">
        <f>$B$3*C6</f>
        <v>4500</v>
      </c>
      <c r="E6">
        <f>D6/B6</f>
        <v>104.94402985074626</v>
      </c>
      <c r="F6">
        <f>ROUNDDOWN(E6,0)</f>
        <v>104</v>
      </c>
    </row>
    <row r="7" spans="1:6" x14ac:dyDescent="0.25">
      <c r="A7" t="s">
        <v>278</v>
      </c>
      <c r="B7" s="12">
        <v>51.32</v>
      </c>
      <c r="C7" s="223">
        <v>0.4</v>
      </c>
      <c r="D7" s="10">
        <f t="shared" ref="D7:D8" si="0">$B$3*C7</f>
        <v>6000</v>
      </c>
      <c r="E7">
        <f t="shared" ref="E7:E8" si="1">D7/B7</f>
        <v>116.91348402182385</v>
      </c>
      <c r="F7">
        <f t="shared" ref="F7:F8" si="2">ROUNDDOWN(E7,0)</f>
        <v>116</v>
      </c>
    </row>
    <row r="8" spans="1:6" x14ac:dyDescent="0.25">
      <c r="A8" t="s">
        <v>279</v>
      </c>
      <c r="B8" s="12">
        <v>8.51</v>
      </c>
      <c r="C8" s="223">
        <v>0.3</v>
      </c>
      <c r="D8" s="10">
        <f t="shared" si="0"/>
        <v>4500</v>
      </c>
      <c r="E8">
        <f t="shared" si="1"/>
        <v>528.78965922444183</v>
      </c>
      <c r="F8">
        <f t="shared" si="2"/>
        <v>528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5A36-5034-488B-AEF2-31F710CDEA28}">
  <sheetPr>
    <tabColor rgb="FF002060"/>
  </sheetPr>
  <dimension ref="A2:C8"/>
  <sheetViews>
    <sheetView workbookViewId="0">
      <selection activeCell="T32" sqref="T32"/>
    </sheetView>
  </sheetViews>
  <sheetFormatPr defaultRowHeight="15" x14ac:dyDescent="0.25"/>
  <cols>
    <col min="3" max="3" width="9.85546875" bestFit="1" customWidth="1"/>
  </cols>
  <sheetData>
    <row r="2" spans="1:3" x14ac:dyDescent="0.25">
      <c r="A2" t="s">
        <v>271</v>
      </c>
      <c r="C2">
        <v>500</v>
      </c>
    </row>
    <row r="3" spans="1:3" x14ac:dyDescent="0.25">
      <c r="A3" t="s">
        <v>272</v>
      </c>
      <c r="C3" s="12">
        <v>103.39</v>
      </c>
    </row>
    <row r="4" spans="1:3" x14ac:dyDescent="0.25">
      <c r="A4" t="s">
        <v>273</v>
      </c>
      <c r="C4" s="127">
        <v>0.35</v>
      </c>
    </row>
    <row r="5" spans="1:3" x14ac:dyDescent="0.25">
      <c r="A5" t="s">
        <v>274</v>
      </c>
      <c r="C5" s="12">
        <v>106.69</v>
      </c>
    </row>
    <row r="7" spans="1:3" x14ac:dyDescent="0.25">
      <c r="A7" t="s">
        <v>275</v>
      </c>
      <c r="C7" s="12">
        <f>((C5-C3)+C4)*C2</f>
        <v>1824.9999999999986</v>
      </c>
    </row>
    <row r="8" spans="1:3" x14ac:dyDescent="0.25">
      <c r="A8" t="s">
        <v>276</v>
      </c>
      <c r="C8" s="11">
        <f>C7/(C3*C2)</f>
        <v>3.5303220814392078E-2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100-7802-47A4-927A-CF793B15C087}">
  <sheetPr>
    <tabColor rgb="FFEE0000"/>
  </sheetPr>
  <dimension ref="A1:S31"/>
  <sheetViews>
    <sheetView topLeftCell="A4" workbookViewId="0">
      <selection activeCell="H25" sqref="H25"/>
    </sheetView>
  </sheetViews>
  <sheetFormatPr defaultRowHeight="15" x14ac:dyDescent="0.25"/>
  <cols>
    <col min="1" max="1" width="35.42578125" customWidth="1"/>
    <col min="2" max="2" width="17.28515625" customWidth="1"/>
  </cols>
  <sheetData>
    <row r="1" spans="1:19" x14ac:dyDescent="0.25">
      <c r="A1" t="s">
        <v>252</v>
      </c>
    </row>
    <row r="3" spans="1:19" x14ac:dyDescent="0.25">
      <c r="A3" t="s">
        <v>253</v>
      </c>
    </row>
    <row r="4" spans="1:19" x14ac:dyDescent="0.25">
      <c r="A4" t="s">
        <v>254</v>
      </c>
    </row>
    <row r="5" spans="1:19" x14ac:dyDescent="0.25">
      <c r="A5" t="s">
        <v>255</v>
      </c>
      <c r="B5" s="10">
        <v>30000</v>
      </c>
    </row>
    <row r="7" spans="1:19" x14ac:dyDescent="0.25">
      <c r="A7" s="61" t="s">
        <v>62</v>
      </c>
    </row>
    <row r="8" spans="1:19" x14ac:dyDescent="0.25">
      <c r="A8" s="214" t="str">
        <f>TEXT(A3,"")&amp; " is considering buying "&amp;TEXT(A4,"")&amp;" that will generate perpetual after-tax cash flows of "&amp;TEXT(B27,"$0,000")&amp;" per year beginning next year."</f>
        <v>Big Firm is considering buying Small Firm that will generate perpetual after-tax cash flows of $30,000 per year beginning next year.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7"/>
    </row>
    <row r="9" spans="1:19" x14ac:dyDescent="0.25">
      <c r="A9" s="213" t="s">
        <v>256</v>
      </c>
      <c r="S9" s="58"/>
    </row>
    <row r="10" spans="1:19" x14ac:dyDescent="0.25">
      <c r="A10" s="213" t="str">
        <f>"Cost of Equity including flotation costs is " &amp;TEXT( B21,"0.00%") &amp;" and debt issues cost "&amp;TEXT(B22,"0.00%") &amp;" on an after-tax basis."</f>
        <v>Cost of Equity including flotation costs is 15.00% and debt issues cost 5.00% on an after-tax basis.</v>
      </c>
      <c r="S10" s="58"/>
    </row>
    <row r="11" spans="1:19" x14ac:dyDescent="0.25">
      <c r="A11" s="213" t="str">
        <f>"The current capital structure is " &amp;TEXT(B16,"0.00%")&amp; " debt and "&amp;TEXT(B17,"0.00%") &amp;" equity."</f>
        <v>The current capital structure is 30.00% debt and 70.00% equity.</v>
      </c>
      <c r="S11" s="58"/>
    </row>
    <row r="12" spans="1:19" x14ac:dyDescent="0.25">
      <c r="A12" s="213"/>
      <c r="S12" s="58"/>
    </row>
    <row r="13" spans="1:19" x14ac:dyDescent="0.25">
      <c r="A13" s="213" t="s">
        <v>257</v>
      </c>
      <c r="S13" s="58"/>
    </row>
    <row r="14" spans="1:19" x14ac:dyDescent="0.25">
      <c r="A14" s="213" t="s">
        <v>258</v>
      </c>
      <c r="S14" s="58"/>
    </row>
    <row r="15" spans="1:19" x14ac:dyDescent="0.25">
      <c r="A15" s="4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59"/>
    </row>
    <row r="16" spans="1:19" x14ac:dyDescent="0.25">
      <c r="A16" t="s">
        <v>52</v>
      </c>
      <c r="B16" s="11">
        <v>0.3</v>
      </c>
      <c r="C16" s="63"/>
    </row>
    <row r="17" spans="1:3" x14ac:dyDescent="0.25">
      <c r="A17" s="27" t="s">
        <v>45</v>
      </c>
      <c r="B17" s="215">
        <v>0.7</v>
      </c>
      <c r="C17" s="2"/>
    </row>
    <row r="18" spans="1:3" x14ac:dyDescent="0.25">
      <c r="A18" t="s">
        <v>259</v>
      </c>
      <c r="B18" s="2">
        <f>B16+B17</f>
        <v>1</v>
      </c>
    </row>
    <row r="21" spans="1:3" x14ac:dyDescent="0.25">
      <c r="A21" t="s">
        <v>260</v>
      </c>
      <c r="B21" s="2">
        <v>0.15</v>
      </c>
    </row>
    <row r="22" spans="1:3" x14ac:dyDescent="0.25">
      <c r="A22" t="s">
        <v>261</v>
      </c>
      <c r="B22" s="1">
        <v>0.05</v>
      </c>
    </row>
    <row r="24" spans="1:3" x14ac:dyDescent="0.25">
      <c r="A24" s="216" t="s">
        <v>262</v>
      </c>
      <c r="B24" s="217">
        <f>(B21*B17)+(B22*B16)</f>
        <v>0.12</v>
      </c>
    </row>
    <row r="27" spans="1:3" x14ac:dyDescent="0.25">
      <c r="A27" t="s">
        <v>263</v>
      </c>
      <c r="B27" s="10">
        <v>30000</v>
      </c>
    </row>
    <row r="30" spans="1:3" x14ac:dyDescent="0.25">
      <c r="A30" t="s">
        <v>264</v>
      </c>
    </row>
    <row r="31" spans="1:3" x14ac:dyDescent="0.25">
      <c r="A31" s="216" t="s">
        <v>265</v>
      </c>
      <c r="B31" s="218">
        <f>B27/B24</f>
        <v>250000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BEA2-912B-4733-9C99-A8EEABC3ED6D}">
  <sheetPr>
    <tabColor theme="8" tint="-0.499984740745262"/>
  </sheetPr>
  <dimension ref="A1:B36"/>
  <sheetViews>
    <sheetView topLeftCell="A7" workbookViewId="0">
      <selection activeCell="B36" sqref="B36"/>
    </sheetView>
  </sheetViews>
  <sheetFormatPr defaultRowHeight="15" x14ac:dyDescent="0.25"/>
  <cols>
    <col min="1" max="1" width="34.140625" customWidth="1"/>
    <col min="2" max="2" width="18.7109375" customWidth="1"/>
  </cols>
  <sheetData>
    <row r="1" spans="1:2" x14ac:dyDescent="0.25">
      <c r="A1" t="s">
        <v>244</v>
      </c>
    </row>
    <row r="3" spans="1:2" x14ac:dyDescent="0.25">
      <c r="A3" s="38" t="s">
        <v>63</v>
      </c>
      <c r="B3" s="39" t="s">
        <v>245</v>
      </c>
    </row>
    <row r="4" spans="1:2" x14ac:dyDescent="0.25">
      <c r="A4" s="41" t="s">
        <v>65</v>
      </c>
      <c r="B4" s="42" t="s">
        <v>246</v>
      </c>
    </row>
    <row r="5" spans="1:2" x14ac:dyDescent="0.25">
      <c r="A5" s="199"/>
      <c r="B5" s="15"/>
    </row>
    <row r="6" spans="1:2" x14ac:dyDescent="0.25">
      <c r="A6" s="61" t="s">
        <v>62</v>
      </c>
      <c r="B6" s="15"/>
    </row>
    <row r="7" spans="1:2" x14ac:dyDescent="0.25">
      <c r="A7" s="213" t="s">
        <v>247</v>
      </c>
    </row>
    <row r="8" spans="1:2" x14ac:dyDescent="0.25">
      <c r="A8" s="213" t="str">
        <f>"What is "&amp;TEXT(B3,"0.00%") &amp;" cost of equity using retained earnings?"</f>
        <v>What is IBM Corp cost of equity using retained earnings?</v>
      </c>
    </row>
    <row r="10" spans="1:2" x14ac:dyDescent="0.25">
      <c r="A10" t="s">
        <v>248</v>
      </c>
      <c r="B10" s="12">
        <v>50</v>
      </c>
    </row>
    <row r="11" spans="1:2" x14ac:dyDescent="0.25">
      <c r="A11" t="s">
        <v>26</v>
      </c>
      <c r="B11" s="2">
        <v>0.155</v>
      </c>
    </row>
    <row r="12" spans="1:2" x14ac:dyDescent="0.25">
      <c r="A12" t="s">
        <v>0</v>
      </c>
      <c r="B12">
        <v>1.1499999999999999</v>
      </c>
    </row>
    <row r="13" spans="1:2" x14ac:dyDescent="0.25">
      <c r="A13" t="s">
        <v>249</v>
      </c>
      <c r="B13" s="1">
        <v>0.05</v>
      </c>
    </row>
    <row r="14" spans="1:2" x14ac:dyDescent="0.25">
      <c r="A14" t="s">
        <v>250</v>
      </c>
      <c r="B14" s="1">
        <v>0.15</v>
      </c>
    </row>
    <row r="16" spans="1:2" x14ac:dyDescent="0.25">
      <c r="A16" s="20" t="s">
        <v>251</v>
      </c>
      <c r="B16" s="21">
        <f>B13+B12*(B14-B13)</f>
        <v>0.16499999999999998</v>
      </c>
    </row>
    <row r="24" spans="1:2" x14ac:dyDescent="0.25">
      <c r="A24" s="229" t="s">
        <v>2</v>
      </c>
      <c r="B24" s="57"/>
    </row>
    <row r="25" spans="1:2" x14ac:dyDescent="0.25">
      <c r="A25" s="230" t="s">
        <v>6</v>
      </c>
      <c r="B25" s="231"/>
    </row>
    <row r="26" spans="1:2" x14ac:dyDescent="0.25">
      <c r="A26" s="148"/>
      <c r="B26" s="150"/>
    </row>
    <row r="27" spans="1:2" x14ac:dyDescent="0.25">
      <c r="A27" s="230" t="s">
        <v>12</v>
      </c>
      <c r="B27" s="232">
        <v>50</v>
      </c>
    </row>
    <row r="28" spans="1:2" x14ac:dyDescent="0.25">
      <c r="A28" s="148" t="s">
        <v>15</v>
      </c>
      <c r="B28" s="233"/>
    </row>
    <row r="29" spans="1:2" x14ac:dyDescent="0.25">
      <c r="A29" s="148" t="s">
        <v>18</v>
      </c>
      <c r="B29" s="153">
        <v>0.06</v>
      </c>
    </row>
    <row r="30" spans="1:2" x14ac:dyDescent="0.25">
      <c r="A30" s="148" t="s">
        <v>22</v>
      </c>
      <c r="B30" s="153">
        <v>0.05</v>
      </c>
    </row>
    <row r="31" spans="1:2" x14ac:dyDescent="0.25">
      <c r="A31" s="148" t="s">
        <v>25</v>
      </c>
      <c r="B31" s="153">
        <v>0.15</v>
      </c>
    </row>
    <row r="32" spans="1:2" x14ac:dyDescent="0.25">
      <c r="A32" s="148" t="s">
        <v>0</v>
      </c>
      <c r="B32" s="150">
        <v>1.1499999999999999</v>
      </c>
    </row>
    <row r="33" spans="1:2" x14ac:dyDescent="0.25">
      <c r="A33" s="199" t="s">
        <v>26</v>
      </c>
      <c r="B33" s="234">
        <v>0.155</v>
      </c>
    </row>
    <row r="34" spans="1:2" x14ac:dyDescent="0.25">
      <c r="A34" s="199"/>
      <c r="B34" s="58"/>
    </row>
    <row r="35" spans="1:2" ht="15.75" thickBot="1" x14ac:dyDescent="0.3">
      <c r="A35" s="235" t="s">
        <v>29</v>
      </c>
      <c r="B35" s="205"/>
    </row>
    <row r="36" spans="1:2" ht="15.75" thickTop="1" x14ac:dyDescent="0.25">
      <c r="A36" s="199" t="s">
        <v>32</v>
      </c>
      <c r="B36" s="236">
        <f>B30+B32*(B31-B30)</f>
        <v>0.16499999999999998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5BF6-CC9C-4D8E-AB7A-1878F58DAAAE}">
  <sheetPr>
    <tabColor rgb="FF002060"/>
  </sheetPr>
  <dimension ref="A1:O67"/>
  <sheetViews>
    <sheetView workbookViewId="0">
      <selection activeCell="E2" sqref="E2:F14"/>
    </sheetView>
  </sheetViews>
  <sheetFormatPr defaultRowHeight="15" x14ac:dyDescent="0.25"/>
  <cols>
    <col min="1" max="1" width="52.42578125" customWidth="1"/>
    <col min="2" max="2" width="21" style="15" customWidth="1"/>
    <col min="3" max="3" width="15.7109375" customWidth="1"/>
    <col min="4" max="4" width="9" customWidth="1"/>
    <col min="5" max="5" width="30.42578125" customWidth="1"/>
    <col min="6" max="6" width="18.7109375" customWidth="1"/>
    <col min="7" max="7" width="2.140625" customWidth="1"/>
    <col min="8" max="8" width="29.42578125" customWidth="1"/>
    <col min="9" max="9" width="19.42578125" customWidth="1"/>
    <col min="10" max="10" width="3.140625" customWidth="1"/>
    <col min="11" max="11" width="31.5703125" customWidth="1"/>
    <col min="12" max="12" width="20.140625" customWidth="1"/>
  </cols>
  <sheetData>
    <row r="1" spans="1:15" x14ac:dyDescent="0.25">
      <c r="A1" t="s">
        <v>75</v>
      </c>
    </row>
    <row r="2" spans="1:15" ht="18.75" x14ac:dyDescent="0.3">
      <c r="A2" s="3" t="s">
        <v>1</v>
      </c>
      <c r="B2" s="4"/>
      <c r="E2" s="229" t="s">
        <v>2</v>
      </c>
      <c r="F2" s="57"/>
      <c r="H2" s="229" t="s">
        <v>3</v>
      </c>
      <c r="I2" s="57"/>
      <c r="K2" s="266" t="s">
        <v>4</v>
      </c>
      <c r="L2" s="267"/>
      <c r="M2" s="56"/>
      <c r="N2" s="56"/>
      <c r="O2" s="57"/>
    </row>
    <row r="3" spans="1:15" ht="27" customHeight="1" x14ac:dyDescent="0.25">
      <c r="A3" s="5" t="s">
        <v>5</v>
      </c>
      <c r="B3" s="6">
        <f>F17</f>
        <v>0.12733333333333333</v>
      </c>
      <c r="C3" t="str">
        <f t="shared" ref="C3:C9" ca="1" si="0">_xlfn.FORMULATEXT(B3)</f>
        <v>=F17</v>
      </c>
      <c r="E3" s="230" t="s">
        <v>6</v>
      </c>
      <c r="F3" s="231">
        <v>550000</v>
      </c>
      <c r="G3" s="13"/>
      <c r="H3" s="230" t="s">
        <v>7</v>
      </c>
      <c r="I3" s="243">
        <v>100000</v>
      </c>
      <c r="J3" s="13"/>
      <c r="K3" s="248" t="s">
        <v>8</v>
      </c>
      <c r="L3" s="249">
        <v>21000000</v>
      </c>
      <c r="O3" s="58"/>
    </row>
    <row r="4" spans="1:15" x14ac:dyDescent="0.25">
      <c r="A4" s="8" t="s">
        <v>9</v>
      </c>
      <c r="B4" s="9">
        <f>F28</f>
        <v>0.14399999999999999</v>
      </c>
      <c r="C4" t="str">
        <f t="shared" ca="1" si="0"/>
        <v>=F28</v>
      </c>
      <c r="E4" s="148"/>
      <c r="F4" s="150"/>
      <c r="G4" s="13"/>
      <c r="H4" s="148"/>
      <c r="I4" s="150"/>
      <c r="J4" s="13"/>
      <c r="K4" s="148" t="s">
        <v>10</v>
      </c>
      <c r="L4" s="125">
        <v>1000</v>
      </c>
      <c r="O4" s="58"/>
    </row>
    <row r="5" spans="1:15" x14ac:dyDescent="0.25">
      <c r="A5" s="5" t="s">
        <v>11</v>
      </c>
      <c r="B5" s="6">
        <f>I14</f>
        <v>7.6923076923076927E-2</v>
      </c>
      <c r="C5" t="str">
        <f t="shared" ca="1" si="0"/>
        <v>=I14</v>
      </c>
      <c r="E5" s="230" t="s">
        <v>12</v>
      </c>
      <c r="F5" s="232">
        <v>45</v>
      </c>
      <c r="G5" s="13"/>
      <c r="H5" s="230" t="s">
        <v>12</v>
      </c>
      <c r="I5" s="232">
        <v>52</v>
      </c>
      <c r="J5" s="13"/>
      <c r="K5" s="148" t="s">
        <v>13</v>
      </c>
      <c r="L5" s="13">
        <v>30</v>
      </c>
      <c r="O5" s="58"/>
    </row>
    <row r="6" spans="1:15" x14ac:dyDescent="0.25">
      <c r="A6" s="8" t="s">
        <v>14</v>
      </c>
      <c r="B6" s="9">
        <f>I22</f>
        <v>8.5470085470085472E-2</v>
      </c>
      <c r="C6" t="str">
        <f t="shared" ca="1" si="0"/>
        <v>=I22</v>
      </c>
      <c r="E6" s="148" t="s">
        <v>15</v>
      </c>
      <c r="F6" s="233">
        <v>3</v>
      </c>
      <c r="G6" s="13"/>
      <c r="H6" s="148" t="s">
        <v>15</v>
      </c>
      <c r="I6" s="233">
        <v>4</v>
      </c>
      <c r="J6" s="13"/>
      <c r="K6" s="148" t="s">
        <v>16</v>
      </c>
      <c r="L6" s="250">
        <v>8.5000000000000006E-2</v>
      </c>
      <c r="O6" s="58"/>
    </row>
    <row r="7" spans="1:15" x14ac:dyDescent="0.25">
      <c r="A7" s="5" t="s">
        <v>17</v>
      </c>
      <c r="B7" s="6">
        <f>L14</f>
        <v>8.6407348764684047E-2</v>
      </c>
      <c r="C7" t="str">
        <f t="shared" ca="1" si="0"/>
        <v>=L14</v>
      </c>
      <c r="E7" s="148" t="s">
        <v>18</v>
      </c>
      <c r="F7" s="153">
        <v>0.06</v>
      </c>
      <c r="G7" s="13"/>
      <c r="H7" s="148" t="s">
        <v>19</v>
      </c>
      <c r="I7" s="244">
        <v>0.1</v>
      </c>
      <c r="J7" s="13"/>
      <c r="K7" s="148" t="s">
        <v>20</v>
      </c>
      <c r="L7" s="83">
        <f>L6*L4</f>
        <v>85</v>
      </c>
      <c r="O7" s="58"/>
    </row>
    <row r="8" spans="1:15" x14ac:dyDescent="0.25">
      <c r="A8" s="13" t="s">
        <v>21</v>
      </c>
      <c r="B8" s="14">
        <f>L10</f>
        <v>0.21</v>
      </c>
      <c r="C8" t="str">
        <f t="shared" ca="1" si="0"/>
        <v>=L10</v>
      </c>
      <c r="E8" s="148" t="s">
        <v>22</v>
      </c>
      <c r="F8" s="153">
        <v>0.03</v>
      </c>
      <c r="G8" s="13"/>
      <c r="H8" s="148"/>
      <c r="I8" s="150"/>
      <c r="J8" s="13"/>
      <c r="K8" s="148" t="s">
        <v>23</v>
      </c>
      <c r="L8" s="13">
        <v>2</v>
      </c>
      <c r="O8" s="58"/>
    </row>
    <row r="9" spans="1:15" x14ac:dyDescent="0.25">
      <c r="A9" s="5" t="s">
        <v>24</v>
      </c>
      <c r="B9" s="6">
        <f>L17</f>
        <v>6.8261805524100397E-2</v>
      </c>
      <c r="C9" t="str">
        <f t="shared" ca="1" si="0"/>
        <v>=L17</v>
      </c>
      <c r="E9" s="148" t="s">
        <v>25</v>
      </c>
      <c r="F9" s="153">
        <v>0.1</v>
      </c>
      <c r="G9" s="13"/>
      <c r="H9" s="148"/>
      <c r="I9" s="150"/>
      <c r="J9" s="13"/>
      <c r="K9" s="230" t="s">
        <v>35</v>
      </c>
      <c r="L9" s="251">
        <v>0.98499999999999999</v>
      </c>
      <c r="O9" s="58"/>
    </row>
    <row r="10" spans="1:15" x14ac:dyDescent="0.25">
      <c r="E10" s="148" t="s">
        <v>0</v>
      </c>
      <c r="F10" s="150">
        <v>1.4</v>
      </c>
      <c r="G10" s="13"/>
      <c r="H10" s="148"/>
      <c r="I10" s="150"/>
      <c r="J10" s="13"/>
      <c r="K10" s="148" t="s">
        <v>21</v>
      </c>
      <c r="L10" s="250">
        <v>0.21</v>
      </c>
      <c r="O10" s="58"/>
    </row>
    <row r="11" spans="1:15" x14ac:dyDescent="0.25">
      <c r="A11" s="13" t="s">
        <v>6</v>
      </c>
      <c r="B11" s="16">
        <f>F3</f>
        <v>550000</v>
      </c>
      <c r="C11" t="str">
        <f t="shared" ref="C11:C18" ca="1" si="1">_xlfn.FORMULATEXT(B11)</f>
        <v>=F3</v>
      </c>
      <c r="E11" s="199" t="s">
        <v>26</v>
      </c>
      <c r="F11" s="234">
        <v>0.2</v>
      </c>
      <c r="H11" s="199"/>
      <c r="I11" s="58"/>
      <c r="K11" s="199"/>
      <c r="O11" s="58"/>
    </row>
    <row r="12" spans="1:15" x14ac:dyDescent="0.25">
      <c r="A12" s="13" t="s">
        <v>27</v>
      </c>
      <c r="B12" s="17">
        <f>F5</f>
        <v>45</v>
      </c>
      <c r="C12" t="str">
        <f t="shared" ca="1" si="1"/>
        <v>=F5</v>
      </c>
      <c r="E12" s="199"/>
      <c r="F12" s="58"/>
      <c r="H12" s="199"/>
      <c r="I12" s="58"/>
      <c r="K12" s="199" t="s">
        <v>28</v>
      </c>
      <c r="L12" s="12">
        <f>L9*L4</f>
        <v>985</v>
      </c>
      <c r="O12" s="58"/>
    </row>
    <row r="13" spans="1:15" ht="15.75" thickBot="1" x14ac:dyDescent="0.3">
      <c r="A13" s="13" t="s">
        <v>7</v>
      </c>
      <c r="B13" s="16">
        <f>I3</f>
        <v>100000</v>
      </c>
      <c r="C13" t="str">
        <f t="shared" ca="1" si="1"/>
        <v>=I3</v>
      </c>
      <c r="E13" s="235" t="s">
        <v>29</v>
      </c>
      <c r="F13" s="205"/>
      <c r="H13" s="235" t="s">
        <v>30</v>
      </c>
      <c r="I13" s="58"/>
      <c r="K13" s="199"/>
      <c r="L13" s="12"/>
      <c r="O13" s="58"/>
    </row>
    <row r="14" spans="1:15" ht="15.75" thickTop="1" x14ac:dyDescent="0.25">
      <c r="A14" s="13" t="s">
        <v>31</v>
      </c>
      <c r="B14" s="17">
        <f>I5</f>
        <v>52</v>
      </c>
      <c r="C14" t="str">
        <f t="shared" ca="1" si="1"/>
        <v>=I5</v>
      </c>
      <c r="E14" s="199" t="s">
        <v>32</v>
      </c>
      <c r="F14" s="236">
        <f>F8+F10*(F9-F8)</f>
        <v>0.128</v>
      </c>
      <c r="H14" s="245" t="s">
        <v>134</v>
      </c>
      <c r="I14" s="224">
        <f>I6/I5</f>
        <v>7.6923076923076927E-2</v>
      </c>
      <c r="K14" s="20" t="s">
        <v>33</v>
      </c>
      <c r="L14" s="21">
        <f>L8*RATE(L5*L8,(-L7/L8),L12,-L4)</f>
        <v>8.6407348764684047E-2</v>
      </c>
      <c r="M14" t="s">
        <v>34</v>
      </c>
      <c r="O14" s="58"/>
    </row>
    <row r="15" spans="1:15" x14ac:dyDescent="0.25">
      <c r="A15" s="13" t="s">
        <v>35</v>
      </c>
      <c r="B15" s="22">
        <f>L9</f>
        <v>0.98499999999999999</v>
      </c>
      <c r="C15" t="str">
        <f t="shared" ca="1" si="1"/>
        <v>=L9</v>
      </c>
      <c r="E15" s="199" t="s">
        <v>36</v>
      </c>
      <c r="F15" s="236">
        <f>F6/F5+F7</f>
        <v>0.12666666666666665</v>
      </c>
      <c r="H15" s="199"/>
      <c r="I15" s="58"/>
      <c r="K15" s="199"/>
      <c r="M15" t="str">
        <f ca="1">_xlfn.FORMULATEXT(L14)</f>
        <v>=L8*RATE(L5*L8,(-L7/L8),L12,-L4)</v>
      </c>
      <c r="O15" s="58"/>
    </row>
    <row r="16" spans="1:15" ht="15.75" x14ac:dyDescent="0.25">
      <c r="A16" s="23" t="s">
        <v>8</v>
      </c>
      <c r="B16" s="24">
        <f>L3</f>
        <v>21000000</v>
      </c>
      <c r="C16" t="str">
        <f t="shared" ca="1" si="1"/>
        <v>=L3</v>
      </c>
      <c r="E16" s="199"/>
      <c r="F16" s="58"/>
      <c r="H16" s="199"/>
      <c r="I16" s="58"/>
      <c r="K16" s="199"/>
      <c r="O16" s="58"/>
    </row>
    <row r="17" spans="1:15" ht="15.75" x14ac:dyDescent="0.25">
      <c r="A17" s="23" t="s">
        <v>37</v>
      </c>
      <c r="B17" s="16">
        <f>L4</f>
        <v>1000</v>
      </c>
      <c r="C17" t="str">
        <f t="shared" ca="1" si="1"/>
        <v>=L4</v>
      </c>
      <c r="E17" s="237" t="s">
        <v>38</v>
      </c>
      <c r="F17" s="238">
        <f>AVERAGE(F14:F15)</f>
        <v>0.12733333333333333</v>
      </c>
      <c r="H17" s="199"/>
      <c r="I17" s="58"/>
      <c r="K17" s="20" t="s">
        <v>24</v>
      </c>
      <c r="L17" s="252">
        <f>L14*(1-L10)</f>
        <v>6.8261805524100397E-2</v>
      </c>
      <c r="M17" t="s">
        <v>39</v>
      </c>
      <c r="O17" s="58"/>
    </row>
    <row r="18" spans="1:15" x14ac:dyDescent="0.25">
      <c r="A18" s="5" t="s">
        <v>40</v>
      </c>
      <c r="B18" s="25">
        <f>B15*B17</f>
        <v>985</v>
      </c>
      <c r="C18" t="str">
        <f t="shared" ca="1" si="1"/>
        <v>=B15*B17</v>
      </c>
      <c r="E18" s="199"/>
      <c r="F18" s="58"/>
      <c r="H18" s="199"/>
      <c r="I18" s="58"/>
      <c r="K18" s="199"/>
      <c r="O18" s="58"/>
    </row>
    <row r="19" spans="1:15" x14ac:dyDescent="0.25">
      <c r="B19" s="26"/>
      <c r="E19" s="199"/>
      <c r="F19" s="58"/>
      <c r="H19" s="199"/>
      <c r="I19" s="58"/>
      <c r="K19" s="199"/>
      <c r="O19" s="58"/>
    </row>
    <row r="20" spans="1:15" ht="15.75" thickBot="1" x14ac:dyDescent="0.3">
      <c r="A20" s="27" t="s">
        <v>41</v>
      </c>
      <c r="B20" s="28"/>
      <c r="E20" s="235" t="s">
        <v>42</v>
      </c>
      <c r="F20" s="205"/>
      <c r="H20" s="235" t="s">
        <v>43</v>
      </c>
      <c r="I20" s="58"/>
      <c r="K20" s="199" t="s">
        <v>44</v>
      </c>
      <c r="O20" s="58"/>
    </row>
    <row r="21" spans="1:15" ht="43.5" customHeight="1" thickTop="1" x14ac:dyDescent="0.25">
      <c r="A21" t="s">
        <v>45</v>
      </c>
      <c r="B21" s="29">
        <f>B11*B12</f>
        <v>24750000</v>
      </c>
      <c r="C21" t="str">
        <f ca="1">_xlfn.FORMULATEXT(B21)</f>
        <v>=B11*B12</v>
      </c>
      <c r="E21" s="199" t="s">
        <v>46</v>
      </c>
      <c r="F21" s="239">
        <f>F5*F11</f>
        <v>9</v>
      </c>
      <c r="H21" s="199" t="s">
        <v>47</v>
      </c>
      <c r="I21" s="246">
        <f>I7*I5</f>
        <v>5.2</v>
      </c>
      <c r="K21" s="41" t="s">
        <v>48</v>
      </c>
      <c r="L21" s="27"/>
      <c r="M21" s="27"/>
      <c r="N21" s="27"/>
      <c r="O21" s="59"/>
    </row>
    <row r="22" spans="1:15" ht="26.25" customHeight="1" x14ac:dyDescent="0.25">
      <c r="A22" t="s">
        <v>49</v>
      </c>
      <c r="B22" s="29">
        <f>B13*B14</f>
        <v>5200000</v>
      </c>
      <c r="C22" t="str">
        <f ca="1">_xlfn.FORMULATEXT(B22)</f>
        <v>=B13*B14</v>
      </c>
      <c r="E22" s="240" t="s">
        <v>50</v>
      </c>
      <c r="F22" s="241">
        <f>F6/(F5-F21)+F7</f>
        <v>0.14333333333333331</v>
      </c>
      <c r="H22" s="247" t="s">
        <v>51</v>
      </c>
      <c r="I22" s="253">
        <f>I6/(I5-I21)</f>
        <v>8.5470085470085472E-2</v>
      </c>
    </row>
    <row r="23" spans="1:15" ht="15.75" thickBot="1" x14ac:dyDescent="0.3">
      <c r="A23" s="31" t="s">
        <v>52</v>
      </c>
      <c r="B23" s="32">
        <f>B16*B15</f>
        <v>20685000</v>
      </c>
      <c r="C23" t="str">
        <f ca="1">_xlfn.FORMULATEXT(B23)</f>
        <v>=B16*B15</v>
      </c>
      <c r="E23" s="199"/>
      <c r="F23" s="58"/>
    </row>
    <row r="24" spans="1:15" x14ac:dyDescent="0.25">
      <c r="A24" t="s">
        <v>53</v>
      </c>
      <c r="B24" s="33">
        <f>SUM(B21:B23)</f>
        <v>50635000</v>
      </c>
      <c r="E24" s="199" t="s">
        <v>54</v>
      </c>
      <c r="F24" s="236">
        <f>F22-F15</f>
        <v>1.6666666666666663E-2</v>
      </c>
    </row>
    <row r="25" spans="1:15" x14ac:dyDescent="0.25">
      <c r="B25" s="33"/>
      <c r="E25" s="199"/>
      <c r="F25" s="58"/>
    </row>
    <row r="26" spans="1:15" ht="16.5" customHeight="1" x14ac:dyDescent="0.25">
      <c r="A26" s="27" t="s">
        <v>55</v>
      </c>
      <c r="B26" s="34"/>
      <c r="E26" s="199" t="s">
        <v>56</v>
      </c>
      <c r="F26" s="236">
        <f>F14+F24</f>
        <v>0.14466666666666667</v>
      </c>
    </row>
    <row r="27" spans="1:15" ht="16.5" customHeight="1" x14ac:dyDescent="0.25">
      <c r="A27" t="s">
        <v>57</v>
      </c>
      <c r="B27" s="35">
        <f>B21/$B$24</f>
        <v>0.48879233731608573</v>
      </c>
      <c r="C27" t="str">
        <f ca="1">_xlfn.FORMULATEXT(B27)</f>
        <v>=B21/$B$24</v>
      </c>
      <c r="E27" s="199"/>
      <c r="F27" s="58"/>
    </row>
    <row r="28" spans="1:15" x14ac:dyDescent="0.25">
      <c r="A28" t="s">
        <v>58</v>
      </c>
      <c r="B28" s="35">
        <f t="shared" ref="B28:B29" si="2">B22/$B$24</f>
        <v>0.10269576379974327</v>
      </c>
      <c r="C28" t="str">
        <f ca="1">_xlfn.FORMULATEXT(B28)</f>
        <v>=B22/$B$24</v>
      </c>
      <c r="E28" s="242" t="s">
        <v>59</v>
      </c>
      <c r="F28" s="254">
        <f>AVERAGE(F26,F22)</f>
        <v>0.14399999999999999</v>
      </c>
    </row>
    <row r="29" spans="1:15" x14ac:dyDescent="0.25">
      <c r="A29" t="s">
        <v>60</v>
      </c>
      <c r="B29" s="35">
        <f t="shared" si="2"/>
        <v>0.40851189888417105</v>
      </c>
      <c r="C29" t="str">
        <f ca="1">_xlfn.FORMULATEXT(B29)</f>
        <v>=B23/$B$24</v>
      </c>
      <c r="E29" s="41"/>
      <c r="F29" s="59"/>
    </row>
    <row r="30" spans="1:15" x14ac:dyDescent="0.25">
      <c r="B30" s="35"/>
    </row>
    <row r="31" spans="1:15" x14ac:dyDescent="0.25">
      <c r="A31" t="s">
        <v>61</v>
      </c>
    </row>
    <row r="32" spans="1:15" x14ac:dyDescent="0.25">
      <c r="A32" s="36" t="s">
        <v>73</v>
      </c>
      <c r="B32" s="37">
        <f>(B3*B27)+(B5*B28)+(B9*B29)</f>
        <v>9.8024991552602289E-2</v>
      </c>
      <c r="C32" t="str">
        <f ca="1">_xlfn.FORMULATEXT(B32)</f>
        <v>=(B3*B27)+(B5*B28)+(B9*B29)</v>
      </c>
    </row>
    <row r="34" spans="1:5" x14ac:dyDescent="0.25">
      <c r="A34" s="38" t="s">
        <v>61</v>
      </c>
      <c r="B34" s="55"/>
      <c r="C34" s="56"/>
      <c r="D34" s="57"/>
    </row>
    <row r="35" spans="1:5" x14ac:dyDescent="0.25">
      <c r="A35" s="36" t="s">
        <v>74</v>
      </c>
      <c r="B35" s="37">
        <f>(B27*B4)+(B28*B5)+(B9*B29)</f>
        <v>0.10617153050787038</v>
      </c>
      <c r="C35" t="str">
        <f ca="1">_xlfn.FORMULATEXT(B35)</f>
        <v>=(B27*B4)+(B28*B5)+(B9*B29)</v>
      </c>
      <c r="D35" s="58"/>
    </row>
    <row r="36" spans="1:5" x14ac:dyDescent="0.25">
      <c r="A36" s="41"/>
      <c r="B36" s="28"/>
      <c r="C36" s="27"/>
      <c r="D36" s="59"/>
    </row>
    <row r="38" spans="1:5" s="40" customFormat="1" ht="21" x14ac:dyDescent="0.35">
      <c r="A38" s="38" t="s">
        <v>63</v>
      </c>
      <c r="B38" s="39" t="s">
        <v>64</v>
      </c>
    </row>
    <row r="39" spans="1:5" s="40" customFormat="1" ht="21" x14ac:dyDescent="0.35">
      <c r="A39" s="41" t="s">
        <v>65</v>
      </c>
      <c r="B39" s="42" t="s">
        <v>66</v>
      </c>
    </row>
    <row r="40" spans="1:5" s="40" customFormat="1" ht="21" x14ac:dyDescent="0.35">
      <c r="A40" s="61" t="s">
        <v>62</v>
      </c>
      <c r="B40" s="62"/>
    </row>
    <row r="41" spans="1:5" s="46" customFormat="1" ht="21" x14ac:dyDescent="0.35">
      <c r="A41" s="43" t="str">
        <f>"Calculate the WACC (full tax advantage) of "&amp;TEXT(B38,"")&amp; "  given the following information:"</f>
        <v>Calculate the WACC (full tax advantage) of XYZ Corp  given the following information:</v>
      </c>
      <c r="B41" s="44"/>
      <c r="C41" s="45"/>
      <c r="D41" s="45"/>
    </row>
    <row r="42" spans="1:5" s="46" customFormat="1" ht="57.75" thickBot="1" x14ac:dyDescent="0.4">
      <c r="A42" s="47"/>
      <c r="B42" s="48" t="s">
        <v>67</v>
      </c>
      <c r="C42" s="60" t="s">
        <v>76</v>
      </c>
      <c r="D42" s="45"/>
    </row>
    <row r="43" spans="1:5" s="46" customFormat="1" ht="21.75" thickTop="1" x14ac:dyDescent="0.35">
      <c r="A43" s="45" t="s">
        <v>68</v>
      </c>
      <c r="B43" s="49">
        <f>F3</f>
        <v>550000</v>
      </c>
      <c r="C43" s="50">
        <f>F5</f>
        <v>45</v>
      </c>
      <c r="D43" s="45"/>
    </row>
    <row r="44" spans="1:5" s="46" customFormat="1" ht="21" x14ac:dyDescent="0.35">
      <c r="A44" s="45" t="s">
        <v>69</v>
      </c>
      <c r="B44" s="49">
        <f>I3</f>
        <v>100000</v>
      </c>
      <c r="C44" s="50">
        <f>I5</f>
        <v>52</v>
      </c>
      <c r="D44" s="45"/>
    </row>
    <row r="45" spans="1:5" s="46" customFormat="1" ht="21" x14ac:dyDescent="0.35">
      <c r="A45" s="45" t="s">
        <v>70</v>
      </c>
      <c r="B45" s="49">
        <f>L3</f>
        <v>21000000</v>
      </c>
      <c r="C45" s="51">
        <f>L9</f>
        <v>0.98499999999999999</v>
      </c>
      <c r="D45" s="45"/>
    </row>
    <row r="46" spans="1:5" s="46" customFormat="1" ht="21" x14ac:dyDescent="0.35">
      <c r="A46" s="45"/>
      <c r="B46" s="49"/>
      <c r="C46" s="51"/>
      <c r="D46" s="45"/>
    </row>
    <row r="47" spans="1:5" s="54" customFormat="1" ht="18.75" x14ac:dyDescent="0.3">
      <c r="A47" s="52" t="s">
        <v>71</v>
      </c>
      <c r="B47" s="52"/>
      <c r="C47" s="52"/>
      <c r="D47" s="52"/>
      <c r="E47" s="53"/>
    </row>
    <row r="48" spans="1:5" s="54" customFormat="1" ht="18.75" x14ac:dyDescent="0.3">
      <c r="A48" s="52" t="s">
        <v>72</v>
      </c>
      <c r="B48" s="52"/>
      <c r="C48" s="52"/>
      <c r="D48" s="52"/>
      <c r="E48" s="53"/>
    </row>
    <row r="49" spans="1:5" s="54" customFormat="1" ht="18.75" x14ac:dyDescent="0.3">
      <c r="A49" s="52"/>
      <c r="B49" s="52"/>
      <c r="C49" s="52"/>
      <c r="D49" s="52"/>
      <c r="E49" s="53"/>
    </row>
    <row r="50" spans="1:5" s="54" customFormat="1" ht="18.75" x14ac:dyDescent="0.3">
      <c r="A50" s="45" t="str">
        <f>"The per share equity dividend (D1) next period is expected to be " &amp; TEXT(F6,"$0.00")</f>
        <v>The per share equity dividend (D1) next period is expected to be $3.00</v>
      </c>
      <c r="B50" s="45"/>
      <c r="C50" s="45"/>
      <c r="D50" s="45"/>
    </row>
    <row r="51" spans="1:5" s="54" customFormat="1" ht="18.75" x14ac:dyDescent="0.3">
      <c r="A51" s="45" t="str">
        <f>"The per share preferred stock dividend (D1) next period is expected to be " &amp; TEXT(I6,"$0.00")</f>
        <v>The per share preferred stock dividend (D1) next period is expected to be $4.00</v>
      </c>
      <c r="B51" s="45"/>
      <c r="C51" s="45"/>
      <c r="D51" s="45"/>
    </row>
    <row r="52" spans="1:5" s="54" customFormat="1" ht="18.75" x14ac:dyDescent="0.3">
      <c r="A52" s="45" t="str">
        <f>TEXT($B$39,"")&amp;" expects future dividends on common equity to grow  indefinitely (g) by " &amp;TEXT(F7,"0.00%")</f>
        <v>XYZ expects future dividends on common equity to grow  indefinitely (g) by 6.00%</v>
      </c>
      <c r="B52" s="45"/>
      <c r="C52" s="45"/>
      <c r="D52" s="45"/>
    </row>
    <row r="53" spans="1:5" s="54" customFormat="1" ht="18.75" x14ac:dyDescent="0.3">
      <c r="A53" s="45" t="str">
        <f>"The risk-free rate (RfR) is " &amp;TEXT(F8,"0.00%")</f>
        <v>The risk-free rate (RfR) is 3.00%</v>
      </c>
      <c r="B53" s="45"/>
      <c r="C53" s="45"/>
      <c r="D53" s="45"/>
    </row>
    <row r="54" spans="1:5" s="54" customFormat="1" ht="18.75" x14ac:dyDescent="0.3">
      <c r="A54" s="45" t="str">
        <f>"The expected return on the market (Rm) is " &amp;TEXT(F9,"0.00%")</f>
        <v>The expected return on the market (Rm) is 10.00%</v>
      </c>
      <c r="B54" s="45"/>
      <c r="C54" s="45"/>
      <c r="D54" s="45"/>
    </row>
    <row r="55" spans="1:5" s="54" customFormat="1" ht="18.75" x14ac:dyDescent="0.3">
      <c r="A55" s="45" t="str">
        <f>TEXT($B$39,"")&amp;" has a beta of " &amp; TEXT(F10,"0.00")</f>
        <v>XYZ has a beta of 1.40</v>
      </c>
      <c r="B55" s="45"/>
      <c r="C55" s="45"/>
      <c r="D55" s="45"/>
    </row>
    <row r="56" spans="1:5" s="54" customFormat="1" ht="18.75" x14ac:dyDescent="0.3">
      <c r="A56" s="45" t="str">
        <f>TEXT($B$39,"")&amp;" debt has a coupon rate of " &amp; TEXT(L6,"0.00%")</f>
        <v>XYZ debt has a coupon rate of 8.50%</v>
      </c>
      <c r="B56" s="45"/>
      <c r="C56" s="45"/>
      <c r="D56" s="45"/>
    </row>
    <row r="57" spans="1:5" s="54" customFormat="1" ht="18.75" x14ac:dyDescent="0.3">
      <c r="A57" s="45" t="str">
        <f>TEXT($B$39,"")&amp;" debt has a maturity in years of " &amp; TEXT(L5,"0")</f>
        <v>XYZ debt has a maturity in years of 30</v>
      </c>
      <c r="B57" s="45"/>
      <c r="D57" s="45"/>
    </row>
    <row r="58" spans="1:5" ht="18.75" x14ac:dyDescent="0.3">
      <c r="A58" s="45" t="str">
        <f>TEXT($B$39,"")&amp;" tax rate is " &amp; TEXT(L10,"0.00%")</f>
        <v>XYZ tax rate is 21.00%</v>
      </c>
      <c r="B58" s="45"/>
      <c r="D58" s="45"/>
    </row>
    <row r="59" spans="1:5" ht="18.75" x14ac:dyDescent="0.3">
      <c r="A59" s="45" t="str">
        <f>TEXT($B$39,"")&amp;" flotation cost for common equity is " &amp; TEXT(F11,"0.00%")&amp; " of its current traded price"</f>
        <v>XYZ flotation cost for common equity is 20.00% of its current traded price</v>
      </c>
      <c r="B59" s="45"/>
      <c r="D59" s="45"/>
    </row>
    <row r="60" spans="1:5" ht="18.75" x14ac:dyDescent="0.3">
      <c r="D60" s="45"/>
    </row>
    <row r="61" spans="1:5" ht="18.75" x14ac:dyDescent="0.3">
      <c r="A61" s="45"/>
      <c r="B61" s="45"/>
      <c r="D61" s="45"/>
    </row>
    <row r="63" spans="1:5" s="46" customFormat="1" ht="21" x14ac:dyDescent="0.35">
      <c r="D63" s="45"/>
    </row>
    <row r="67" spans="1:2" ht="18.75" x14ac:dyDescent="0.3">
      <c r="A67" s="45"/>
      <c r="B67" s="45"/>
    </row>
  </sheetData>
  <mergeCells count="1">
    <mergeCell ref="K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TVM #1-15</vt:lpstr>
      <vt:lpstr>TVM #2-8</vt:lpstr>
      <vt:lpstr>TVM#3-9</vt:lpstr>
      <vt:lpstr>TVM #4</vt:lpstr>
      <vt:lpstr>TVM #5-10</vt:lpstr>
      <vt:lpstr>TVM #6-11</vt:lpstr>
      <vt:lpstr>Bond #1-20</vt:lpstr>
      <vt:lpstr>Bond #2-19</vt:lpstr>
      <vt:lpstr>Bond #4-18</vt:lpstr>
      <vt:lpstr>Equity #1-1</vt:lpstr>
      <vt:lpstr>Equity #2-3</vt:lpstr>
      <vt:lpstr>Equity #3-4</vt:lpstr>
      <vt:lpstr>Equity #4-5</vt:lpstr>
      <vt:lpstr>Equity #5-12</vt:lpstr>
      <vt:lpstr>Equity #6-13</vt:lpstr>
      <vt:lpstr>WACC #1-6</vt:lpstr>
      <vt:lpstr>WACC #2-7</vt:lpstr>
      <vt:lpstr>WACC #3-17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bevitts</dc:creator>
  <cp:lastModifiedBy>Bethany Evitts</cp:lastModifiedBy>
  <dcterms:created xsi:type="dcterms:W3CDTF">2015-06-05T18:17:20Z</dcterms:created>
  <dcterms:modified xsi:type="dcterms:W3CDTF">2026-04-25T18:18:08Z</dcterms:modified>
</cp:coreProperties>
</file>